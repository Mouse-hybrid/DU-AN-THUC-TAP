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3e4e3ce3d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56af9cca64394be2"/>
    <x:sheet xmlns:r="http://schemas.openxmlformats.org/officeDocument/2006/relationships" name="Dashboard" sheetId="2" r:id="R605ea31a7ae64c43"/>
    <x:sheet xmlns:r="http://schemas.openxmlformats.org/officeDocument/2006/relationships" name="Execution Log" sheetId="3" r:id="R08d06b870a6b4bcf"/>
    <x:sheet xmlns:r="http://schemas.openxmlformats.org/officeDocument/2006/relationships" name="RFI &amp; Gaps" sheetId="4" r:id="Ra68a02976de54f45"/>
    <x:sheet xmlns:r="http://schemas.openxmlformats.org/officeDocument/2006/relationships" name="Nguồn &amp; Version" sheetId="5" r:id="R021770ba36cc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0"/>
      <x:color rgb="FF24323D"/>
      <x:name val="Arial"/>
    </x:font>
    <x:font>
      <x:b/>
      <x:sz val="15"/>
      <x:color rgb="FFFFFFFF"/>
      <x:name val="Arial"/>
    </x:font>
    <x:font>
      <x:b/>
      <x:sz val="10"/>
      <x:color rgb="FF24323D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2577A"/>
      </x:patternFill>
    </x:fill>
    <x:fill>
      <x:patternFill patternType="solid">
        <x:fgColor rgb="FFE8F3F8"/>
      </x:patternFill>
    </x:fill>
    <x:fill>
      <x:patternFill patternType="solid">
        <x:fgColor rgb="FF17324D"/>
      </x:patternFill>
    </x:fill>
    <x:fill>
      <x:patternFill patternType="solid">
        <x:fgColor rgb="FFFFF7E6"/>
      </x:patternFill>
    </x:fill>
  </x:fills>
  <x:borders count="4">
    <x:border>
      <x:left/>
      <x:right/>
      <x:top/>
      <x:bottom/>
      <x:diagonal/>
    </x:border>
    <x:border>
      <x:left/>
      <x:right style="thin">
        <x:color rgb="FFD9E2E9"/>
      </x:right>
      <x:top/>
      <x:bottom/>
      <x:diagonal/>
    </x:border>
    <x:border>
      <x:left style="thin">
        <x:color rgb="FFD9E2E9"/>
      </x:left>
      <x:right style="thin">
        <x:color rgb="FFD9E2E9"/>
      </x:right>
      <x:top/>
      <x:bottom/>
      <x:diagonal/>
    </x:border>
    <x:border>
      <x:left style="thin">
        <x:color rgb="FFD9E2E9"/>
      </x:left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/>
    </x:xf>
  </x:cellXfs>
  <x:cellStyles count="1">
    <x:cellStyle name="Normal" xfId="0"/>
  </x:cellStyles>
  <x:dxfs count="8">
    <x:dxf>
      <x:font>
        <x:b/>
        <x:color rgb="FF176534"/>
      </x:font>
      <x:fill>
        <x:patternFill>
          <x:bgColor rgb="FFDFF2E4"/>
        </x:patternFill>
      </x:fill>
    </x:dxf>
    <x:dxf>
      <x:font>
        <x:b/>
        <x:color rgb="FFAD2626"/>
      </x:font>
      <x:fill>
        <x:patternFill>
          <x:bgColor rgb="FFFCE4E4"/>
        </x:patternFill>
      </x:fill>
    </x:dxf>
    <x:dxf>
      <x:font>
        <x:b/>
        <x:color rgb="FF915A00"/>
      </x:font>
      <x:fill>
        <x:patternFill>
          <x:bgColor rgb="FFFDEBC8"/>
        </x:patternFill>
      </x:fill>
    </x:dxf>
    <x:dxf>
      <x:font>
        <x:b/>
        <x:color rgb="FF7C5E00"/>
      </x:font>
      <x:fill>
        <x:patternFill>
          <x:bgColor rgb="FFFFF4CF"/>
        </x:patternFill>
      </x:fill>
    </x:dxf>
    <x:dxf>
      <x:font>
        <x:b/>
        <x:color rgb="FF215AB3"/>
      </x:font>
      <x:fill>
        <x:patternFill>
          <x:bgColor rgb="FFE1EDFF"/>
        </x:patternFill>
      </x:fill>
    </x:dxf>
    <x:dxf>
      <x:font>
        <x:b/>
        <x:color rgb="FF55626E"/>
      </x:font>
      <x:fill>
        <x:patternFill>
          <x:bgColor rgb="FFEDF0F4"/>
        </x:patternFill>
      </x:fill>
    </x:dxf>
    <x:dxf>
      <x:font>
        <x:b/>
        <x:color rgb="FF5F43A8"/>
      </x:font>
      <x:fill>
        <x:patternFill>
          <x:bgColor rgb="FFECE5FF"/>
        </x:patternFill>
      </x:fill>
    </x:dxf>
    <x:dxf>
      <x:font>
        <x:b/>
        <x:color rgb="FF6D7379"/>
      </x:font>
      <x:fill>
        <x:patternFill>
          <x:bgColor rgb="FFF1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7b9d98d7543b2" /><Relationship Type="http://schemas.openxmlformats.org/officeDocument/2006/relationships/theme" Target="/xl/theme/theme1.xml" Id="R41217f10c16741e4" /><Relationship Type="http://schemas.openxmlformats.org/officeDocument/2006/relationships/sharedStrings" Target="/xl/sharedStrings.xml" Id="R515fb8b3cb394c7b" /><Relationship Type="http://schemas.openxmlformats.org/officeDocument/2006/relationships/worksheet" Target="/xl/worksheets/sheet1.xml" Id="R56af9cca64394be2" /><Relationship Type="http://schemas.openxmlformats.org/officeDocument/2006/relationships/worksheet" Target="/xl/worksheets/sheet2.xml" Id="R605ea31a7ae64c43" /><Relationship Type="http://schemas.openxmlformats.org/officeDocument/2006/relationships/worksheet" Target="/xl/worksheets/sheet3.xml" Id="R08d06b870a6b4bcf" /><Relationship Type="http://schemas.openxmlformats.org/officeDocument/2006/relationships/worksheet" Target="/xl/worksheets/sheet4.xml" Id="Ra68a02976de54f45" /><Relationship Type="http://schemas.openxmlformats.org/officeDocument/2006/relationships/worksheet" Target="/xl/worksheets/sheet5.xml" Id="R021770ba36cc4ecc" /></Relationships>
</file>

<file path=xl/tables/table1.xml><?xml version="1.0" encoding="utf-8"?>
<x:table xmlns:x="http://schemas.openxmlformats.org/spreadsheetml/2006/main" id="1" name="RewardsCasesTable" displayName="RewardsCasesTable" ref="A3:W23" headerRowCount="1" totalsRowCount="0" totalsRowShown="0">
  <x:autoFilter ref="A3:W23"/>
  <x:tableColumns count="23">
    <x:tableColumn id="1" name="TC ID"/>
    <x:tableColumn id="2" name="Tiêu đề Test Case"/>
    <x:tableColumn id="3" name="Module"/>
    <x:tableColumn id="4" name="Priority"/>
    <x:tableColumn id="5" name="Severity"/>
    <x:tableColumn id="6" name="Loại Test"/>
    <x:tableColumn id="7" name="Preconditions&#10;(Điều kiện tiên quyết)"/>
    <x:tableColumn id="8" name="Test Steps&#10;(Các bước thực hiện)"/>
    <x:tableColumn id="9" name="Test Data&#10;(Dữ liệu đầu vào)"/>
    <x:tableColumn id="10" name="Expected Result&#10;(Kết quả mong đợi)"/>
    <x:tableColumn id="11" name="Actual Result&#10;(Kết quả thực tế)"/>
    <x:tableColumn id="12" name="Status"/>
    <x:tableColumn id="13" name="Ngày thực hiện"/>
    <x:tableColumn id="14" name="Người thực hiện"/>
    <x:tableColumn id="15" name="Req ID"/>
    <x:tableColumn id="16" name="Automation?"/>
    <x:tableColumn id="17" name="Ghi chú"/>
    <x:tableColumn id="18" name="Method + Endpoint"/>
    <x:tableColumn id="19" name="Postman Ref"/>
    <x:tableColumn id="20" name="Nguồn / Version"/>
    <x:tableColumn id="21" name="Contract / RFI"/>
    <x:tableColumn id="22" name="Execution Evidence"/>
    <x:tableColumn id="23" name="Run I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47f15dfd2540b3" /></Relationships>
</file>

<file path=xl/worksheets/sheet1.xml><?xml version="1.0" encoding="utf-8"?>
<x:worksheet xmlns:x="http://schemas.openxmlformats.org/spreadsheetml/2006/main">
  <x:sheetPr>
    <x:tabColor rgb="FF22577A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7" hidden="0" customWidth="1"/>
    <x:col min="2" max="2" width="46" hidden="0" customWidth="1"/>
    <x:col min="3" max="3" width="20" hidden="0" customWidth="1"/>
    <x:col min="4" max="4" width="12" hidden="0" customWidth="1"/>
    <x:col min="5" max="5" width="12" hidden="0" customWidth="1"/>
    <x:col min="6" max="6" width="23" hidden="0" customWidth="1"/>
    <x:col min="7" max="7" width="48" hidden="0" customWidth="1"/>
    <x:col min="8" max="8" width="67" hidden="0" customWidth="1"/>
    <x:col min="9" max="9" width="50" hidden="0" customWidth="1"/>
    <x:col min="10" max="10" width="64" hidden="0" customWidth="1"/>
    <x:col min="11" max="11" width="58" hidden="0" customWidth="1"/>
    <x:col min="12" max="12" width="18" hidden="0" customWidth="1"/>
    <x:col min="13" max="13" width="19" hidden="0" customWidth="1"/>
    <x:col min="14" max="14" width="25" hidden="0" customWidth="1"/>
    <x:col min="15" max="15" width="45" hidden="0" customWidth="1"/>
    <x:col min="16" max="16" width="17" hidden="0" customWidth="1"/>
    <x:col min="17" max="17" width="48" hidden="0" customWidth="1"/>
    <x:col min="18" max="18" width="52" hidden="0" customWidth="1"/>
    <x:col min="19" max="19" width="21" hidden="0" customWidth="1"/>
    <x:col min="20" max="20" width="60" hidden="0" customWidth="1"/>
    <x:col min="21" max="21" width="51" hidden="0" customWidth="1"/>
    <x:col min="22" max="22" width="62" hidden="0" customWidth="1"/>
    <x:col min="23" max="23" width="25" hidden="0" customWidth="1"/>
  </x:cols>
  <x:sheetData>
    <x:row r="1" ht="35" customHeight="1">
      <x:c r="A1" s="5" t="str">
        <x:v>AFG POS – QA/QC REWARDS TEST CASES | 18/10/2026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 ht="32" customHeight="1">
      <x:c r="A2" s="8" t="str">
        <x:v>20 test cases | SIT design | Source: BRD/HLR</x:v>
      </x:c>
      <x:c r="B2" s="8"/>
      <x:c r="C2" s="8"/>
      <x:c r="D2" s="8"/>
      <x:c r="E2" s="8"/>
      <x:c r="F2" s="8"/>
      <x:c r="G2" s="8"/>
      <x:c r="H2" s="8" t="str">
        <x:v>Staging /version 972b94294fe1 | QR/Rewards API chưa xuất hiện</x:v>
      </x:c>
      <x:c r="I2" s="8"/>
      <x:c r="J2" s="8"/>
      <x:c r="K2" s="8"/>
      <x:c r="L2" s="8"/>
      <x:c r="M2" s="8"/>
      <x:c r="N2" s="8"/>
      <x:c r="O2" s="8" t="str">
        <x:v>20 Not Executed | 0 Passed | Ghi evidence theo từng run</x:v>
      </x:c>
      <x:c r="P2" s="8"/>
      <x:c r="Q2" s="8"/>
      <x:c r="R2" s="8"/>
      <x:c r="S2" s="8"/>
      <x:c r="T2" s="8"/>
      <x:c r="U2" s="8"/>
      <x:c r="V2" s="8"/>
      <x:c r="W2" s="8"/>
    </x:row>
    <x:row r="3" ht="43" customHeight="1">
      <x:c r="A3" s="17" t="str">
        <x:v>TC ID</x:v>
      </x:c>
      <x:c r="B3" s="18" t="str">
        <x:v>Tiêu đề Test Case</x:v>
      </x:c>
      <x:c r="C3" s="18" t="str">
        <x:v>Module</x:v>
      </x:c>
      <x:c r="D3" s="18" t="str">
        <x:v>Priority</x:v>
      </x:c>
      <x:c r="E3" s="18" t="str">
        <x:v>Severity</x:v>
      </x:c>
      <x:c r="F3" s="18" t="str">
        <x:v>Loại Test</x:v>
      </x:c>
      <x:c r="G3" s="18" t="str">
        <x:v>Preconditions
(Điều kiện tiên quyết)</x:v>
      </x:c>
      <x:c r="H3" s="18" t="str">
        <x:v>Test Steps
(Các bước thực hiện)</x:v>
      </x:c>
      <x:c r="I3" s="18" t="str">
        <x:v>Test Data
(Dữ liệu đầu vào)</x:v>
      </x:c>
      <x:c r="J3" s="18" t="str">
        <x:v>Expected Result
(Kết quả mong đợi)</x:v>
      </x:c>
      <x:c r="K3" s="18" t="str">
        <x:v>Actual Result
(Kết quả thực tế)</x:v>
      </x:c>
      <x:c r="L3" s="18" t="str">
        <x:v>Status</x:v>
      </x:c>
      <x:c r="M3" s="18" t="str">
        <x:v>Ngày thực hiện</x:v>
      </x:c>
      <x:c r="N3" s="18" t="str">
        <x:v>Người thực hiện</x:v>
      </x:c>
      <x:c r="O3" s="18" t="str">
        <x:v>Req ID</x:v>
      </x:c>
      <x:c r="P3" s="18" t="str">
        <x:v>Automation?</x:v>
      </x:c>
      <x:c r="Q3" s="18" t="str">
        <x:v>Ghi chú</x:v>
      </x:c>
      <x:c r="R3" s="18" t="str">
        <x:v>Method + Endpoint</x:v>
      </x:c>
      <x:c r="S3" s="18" t="str">
        <x:v>Postman Ref</x:v>
      </x:c>
      <x:c r="T3" s="18" t="str">
        <x:v>Nguồn / Version</x:v>
      </x:c>
      <x:c r="U3" s="18" t="str">
        <x:v>Contract / RFI</x:v>
      </x:c>
      <x:c r="V3" s="18" t="str">
        <x:v>Execution Evidence</x:v>
      </x:c>
      <x:c r="W3" s="19" t="str">
        <x:v>Run ID</x:v>
      </x:c>
    </x:row>
    <x:row r="4" ht="78" customHeight="1">
      <x:c r="A4" s="21" t="str">
        <x:v>RW-001</x:v>
      </x:c>
      <x:c r="B4" s="21" t="str">
        <x:v>Nhận diện qua số điện thoại</x:v>
      </x:c>
      <x:c r="C4" s="21" t="str">
        <x:v>Rewards</x:v>
      </x:c>
      <x:c r="D4" s="21" t="str">
        <x:v>Critical</x:v>
      </x:c>
      <x:c r="E4" s="21" t="str">
        <x:v>High</x:v>
      </x:c>
      <x:c r="F4" s="21" t="str">
        <x:v>Member lookup</x:v>
      </x:c>
      <x:c r="G4" s="21" t="str">
        <x:v>Staging/CRM sandbox đúng baseline; member, bill và reward QA cô lập. Có CRM contract và policy được phê duyệt trước khi chạy.</x:v>
      </x:c>
      <x:c r="H4" s="21" t="str">
        <x:v>1. Chuẩn bị member QA có số điện thoại đã đăng ký.
2. Nhập số trên màn thanh toán/QR theo quyền.
3. Đối chiếu hồ sơ và số dư server.</x:v>
      </x:c>
      <x:c r="I4" s="21" t="str">
        <x:v>Nhập số điện thoại QA đã đăng ký theo định dạng hợp lệ và nhận diện trước khi áp dụng thưởng.</x:v>
      </x:c>
      <x:c r="J4" s="21" t="str">
        <x:v>Trả đúng hồ sơ/điểm và chỉ trường dữ liệu được phép hiển thị; không tự gắn khách khác.</x:v>
      </x:c>
      <x:c r="K4" s="22"/>
      <x:c r="L4" s="22" t="str">
        <x:v>Not Executed</x:v>
      </x:c>
      <x:c r="M4" s="22"/>
      <x:c r="N4" s="22"/>
      <x:c r="O4" s="21" t="str">
        <x:v>BE-S3-04; HLR CRM</x:v>
      </x:c>
      <x:c r="P4" s="21" t="str">
        <x:v>Không</x:v>
      </x:c>
      <x:c r="Q4" s="21" t="str">
        <x:v>Gate: CRM contract; Owner: PO/CRM/BE; mở khi RW-RFI-01, RW-RFI-05 được chốt và contract/fixture staging sẵn sàng từ 26/10. Chưa chạy.</x:v>
      </x:c>
      <x:c r="R4" s="21" t="str">
        <x:v>TBD – endpoint QR/Rewards chưa có trên OpenAPI staging</x:v>
      </x:c>
      <x:c r="S4" s="21" t="str">
        <x:v>Chưa có</x:v>
      </x:c>
      <x:c r="T4" s="21" t="str">
        <x:v>High Level Requirements(2), Pos System BRD(2), 18/10/2026; staging /version 972b94294fe1</x:v>
      </x:c>
      <x:c r="U4" s="21" t="str">
        <x:v>Gate: CRM contract; RFI: RW-RFI-01; RW-RFI-05</x:v>
      </x:c>
      <x:c r="V4" s="22"/>
      <x:c r="W4" s="22"/>
    </x:row>
    <x:row r="5" ht="78" customHeight="1">
      <x:c r="A5" s="21" t="str">
        <x:v>RW-002</x:v>
      </x:c>
      <x:c r="B5" s="21" t="str">
        <x:v>Nhận diện qua mã thành viên</x:v>
      </x:c>
      <x:c r="C5" s="21" t="str">
        <x:v>Rewards</x:v>
      </x:c>
      <x:c r="D5" s="21" t="str">
        <x:v>High</x:v>
      </x:c>
      <x:c r="E5" s="21" t="str">
        <x:v>Medium</x:v>
      </x:c>
      <x:c r="F5" s="21" t="str">
        <x:v>Member lookup</x:v>
      </x:c>
      <x:c r="G5" s="21" t="str">
        <x:v>Staging/CRM sandbox đúng baseline; member, bill và reward QA cô lập. Có CRM contract và policy được phê duyệt trước khi chạy.</x:v>
      </x:c>
      <x:c r="H5" s="21" t="str">
        <x:v>1. Chuẩn bị QR member hợp lệ, sai và hết hạn.
2. Quét lần lượt các mã ở màn Rewards.
3. Đối chiếu member được chọn và trạng thái bill.</x:v>
      </x:c>
      <x:c r="I5" s="21" t="str">
        <x:v>Quét mã thành viên QA hợp lệ và mã sai/hết hạn trên màn Rewards.</x:v>
      </x:c>
      <x:c r="J5" s="21" t="str">
        <x:v>Mã hợp lệ nhận diện cùng hội viên; mã lỗi có hướng dẫn, không áp dụng nhầm.</x:v>
      </x:c>
      <x:c r="K5" s="22"/>
      <x:c r="L5" s="22" t="str">
        <x:v>Not Executed</x:v>
      </x:c>
      <x:c r="M5" s="22"/>
      <x:c r="N5" s="22"/>
      <x:c r="O5" s="21" t="str">
        <x:v>BE-S3-04</x:v>
      </x:c>
      <x:c r="P5" s="21" t="str">
        <x:v>Không</x:v>
      </x:c>
      <x:c r="Q5" s="21" t="str">
        <x:v>Gate: CRM contract; Owner: PO/CRM/BE; mở khi RW-RFI-01, RW-RFI-05 được chốt và contract/fixture staging sẵn sàng từ 26/10. Chưa chạy.</x:v>
      </x:c>
      <x:c r="R5" s="21" t="str">
        <x:v>TBD – endpoint QR/Rewards chưa có trên OpenAPI staging</x:v>
      </x:c>
      <x:c r="S5" s="21" t="str">
        <x:v>Chưa có</x:v>
      </x:c>
      <x:c r="T5" s="21" t="str">
        <x:v>High Level Requirements(2), Pos System BRD(2), 18/10/2026; staging /version 972b94294fe1</x:v>
      </x:c>
      <x:c r="U5" s="21" t="str">
        <x:v>Gate: CRM contract; RFI: RW-RFI-01; RW-RFI-05</x:v>
      </x:c>
      <x:c r="V5" s="22"/>
      <x:c r="W5" s="22"/>
    </x:row>
    <x:row r="6" ht="78" customHeight="1">
      <x:c r="A6" s="21" t="str">
        <x:v>RW-003</x:v>
      </x:c>
      <x:c r="B6" s="21" t="str">
        <x:v>Bỏ qua Rewards</x:v>
      </x:c>
      <x:c r="C6" s="21" t="str">
        <x:v>Rewards</x:v>
      </x:c>
      <x:c r="D6" s="21" t="str">
        <x:v>Critical</x:v>
      </x:c>
      <x:c r="E6" s="21" t="str">
        <x:v>High</x:v>
      </x:c>
      <x:c r="F6" s="21" t="str">
        <x:v>Optional flow</x:v>
      </x:c>
      <x:c r="G6" s="21" t="str">
        <x:v>Staging/CRM sandbox đúng baseline; member, bill và reward QA cô lập. Có FE và policy được phê duyệt trước khi chạy.</x:v>
      </x:c>
      <x:c r="H6" s="21" t="str">
        <x:v>1. Tạo bill/giỏ QR không kèm số điện thoại.
2. Bỏ qua bước nhận diện và tiếp tục thanh toán/gửi món.
3. Đọc trạng thái cuối và dữ liệu khách liên kết.</x:v>
      </x:c>
      <x:c r="I6" s="21" t="str">
        <x:v>Khách bỏ qua số điện thoại/Rewards và tiếp tục thanh toán/gửi QR.</x:v>
      </x:c>
      <x:c r="J6" s="21" t="str">
        <x:v>Luồng vẫn hoàn tất; không ép đăng ký hay đưa số điện thoại giả.</x:v>
      </x:c>
      <x:c r="K6" s="22"/>
      <x:c r="L6" s="22" t="str">
        <x:v>Not Executed</x:v>
      </x:c>
      <x:c r="M6" s="22"/>
      <x:c r="N6" s="22"/>
      <x:c r="O6" s="21" t="str">
        <x:v>BR-QR-003; QR-HL-002</x:v>
      </x:c>
      <x:c r="P6" s="21" t="str">
        <x:v>Không</x:v>
      </x:c>
      <x:c r="Q6" s="21" t="str">
        <x:v>Gate: FE; Owner: PO/CRM/BE; mở khi RW-RFI-01, RW-RFI-05 được chốt và contract/fixture staging sẵn sàng từ 26/10. Chưa chạy.</x:v>
      </x:c>
      <x:c r="R6" s="21" t="str">
        <x:v>TBD – endpoint QR/Rewards chưa có trên OpenAPI staging</x:v>
      </x:c>
      <x:c r="S6" s="21" t="str">
        <x:v>Chưa có</x:v>
      </x:c>
      <x:c r="T6" s="21" t="str">
        <x:v>High Level Requirements(2), Pos System BRD(2), 18/10/2026; staging /version 972b94294fe1</x:v>
      </x:c>
      <x:c r="U6" s="21" t="str">
        <x:v>Gate: FE; RFI: RW-RFI-01; RW-RFI-05</x:v>
      </x:c>
      <x:c r="V6" s="22"/>
      <x:c r="W6" s="22"/>
    </x:row>
    <x:row r="7" ht="78" customHeight="1">
      <x:c r="A7" s="21" t="str">
        <x:v>RW-004</x:v>
      </x:c>
      <x:c r="B7" s="21" t="str">
        <x:v>Lấy reward và lý do đủ điều kiện</x:v>
      </x:c>
      <x:c r="C7" s="21" t="str">
        <x:v>Rewards</x:v>
      </x:c>
      <x:c r="D7" s="21" t="str">
        <x:v>Critical</x:v>
      </x:c>
      <x:c r="E7" s="21" t="str">
        <x:v>High</x:v>
      </x:c>
      <x:c r="F7" s="21" t="str">
        <x:v>Eligibility</x:v>
      </x:c>
      <x:c r="G7" s="21" t="str">
        <x:v>Staging/CRM sandbox đúng baseline; member, bill và reward QA cô lập. Có Rule+fixture và policy được phê duyệt trước khi chạy.</x:v>
      </x:c>
      <x:c r="H7" s="21" t="str">
        <x:v>1. Seed member QA có reward đủ và không đủ điều kiện.
2. Tra cứu rewards trước apply.
3. So danh sách/lý do với rule version và bill.</x:v>
      </x:c>
      <x:c r="I7" s="21" t="str">
        <x:v>Hội viên QA có 1 reward đủ điều kiện và 1 reward không đủ điều kiện theo rule PO.</x:v>
      </x:c>
      <x:c r="J7" s="21" t="str">
        <x:v>Danh sách/trạng thái và lý do eligibility phù hợp số dư, giá trị giỏ, hạn dùng, outlet.</x:v>
      </x:c>
      <x:c r="K7" s="22"/>
      <x:c r="L7" s="22" t="str">
        <x:v>Not Executed</x:v>
      </x:c>
      <x:c r="M7" s="22"/>
      <x:c r="N7" s="22"/>
      <x:c r="O7" s="21" t="str">
        <x:v>BRD 9.5.2–9.5.3</x:v>
      </x:c>
      <x:c r="P7" s="21" t="str">
        <x:v>Không</x:v>
      </x:c>
      <x:c r="Q7" s="21" t="str">
        <x:v>Gate: Rule+fixture; Owner: PO/CRM/BE; mở khi RW-RFI-01, RW-RFI-05 được chốt và contract/fixture staging sẵn sàng từ 26/10. Chưa chạy.</x:v>
      </x:c>
      <x:c r="R7" s="21" t="str">
        <x:v>TBD – endpoint QR/Rewards chưa có trên OpenAPI staging</x:v>
      </x:c>
      <x:c r="S7" s="21" t="str">
        <x:v>Chưa có</x:v>
      </x:c>
      <x:c r="T7" s="21" t="str">
        <x:v>High Level Requirements(2), Pos System BRD(2), 18/10/2026; supplement v1.0 Draft; staging /version 972b94294fe1</x:v>
      </x:c>
      <x:c r="U7" s="21" t="str">
        <x:v>Gate: Rule+fixture; RFI: RW-RFI-01; RW-RFI-05</x:v>
      </x:c>
      <x:c r="V7" s="22"/>
      <x:c r="W7" s="22"/>
    </x:row>
    <x:row r="8" ht="78" customHeight="1">
      <x:c r="A8" s="21" t="str">
        <x:v>RW-005</x:v>
      </x:c>
      <x:c r="B8" s="21" t="str">
        <x:v>Áp dụng một reward hợp lệ</x:v>
      </x:c>
      <x:c r="C8" s="21" t="str">
        <x:v>Rewards</x:v>
      </x:c>
      <x:c r="D8" s="21" t="str">
        <x:v>Critical</x:v>
      </x:c>
      <x:c r="E8" s="21" t="str">
        <x:v>High</x:v>
      </x:c>
      <x:c r="F8" s="21" t="str">
        <x:v>Apply / amount</x:v>
      </x:c>
      <x:c r="G8" s="21" t="str">
        <x:v>Staging/CRM sandbox đúng baseline; member, bill và reward QA cô lập. Có Rule+API và policy được phê duyệt trước khi chạy.</x:v>
      </x:c>
      <x:c r="H8" s="21" t="str">
        <x:v>1. Tạo bill QA đủ điều kiện và ghi amount ban đầu.
2. Nhận diện, chọn reward, áp dụng.
3. Đo thời gian và đọc bill/discount/ledger.</x:v>
      </x:c>
      <x:c r="I8" s="21" t="str">
        <x:v>Áp dụng một reward hợp lệ cho bill QA, xem lại order detail và tổng thanh toán.</x:v>
      </x:c>
      <x:c r="J8" s="21" t="str">
        <x:v>Chỉ giảm một lần; tính lại subtotal/discount/tax/amount đúng quy tắc đã duyệt; thời gian từ nhận diện tới áp dụng ≤30 giây.</x:v>
      </x:c>
      <x:c r="K8" s="22"/>
      <x:c r="L8" s="22" t="str">
        <x:v>Not Executed</x:v>
      </x:c>
      <x:c r="M8" s="22"/>
      <x:c r="N8" s="22"/>
      <x:c r="O8" s="21" t="str">
        <x:v>BRD 9.5.5; CRM-HL-001</x:v>
      </x:c>
      <x:c r="P8" s="21" t="str">
        <x:v>Không</x:v>
      </x:c>
      <x:c r="Q8" s="21" t="str">
        <x:v>Gate: Rule+API; Owner: PO/CRM/BE; mở khi RW-RFI-01, RW-RFI-05 được chốt và contract/fixture staging sẵn sàng từ 26/10. Chưa chạy.</x:v>
      </x:c>
      <x:c r="R8" s="21" t="str">
        <x:v>TBD – endpoint QR/Rewards chưa có trên OpenAPI staging</x:v>
      </x:c>
      <x:c r="S8" s="21" t="str">
        <x:v>Chưa có</x:v>
      </x:c>
      <x:c r="T8" s="21" t="str">
        <x:v>High Level Requirements(2), Pos System BRD(2), 18/10/2026; supplement v1.0 Draft; staging /version 972b94294fe1</x:v>
      </x:c>
      <x:c r="U8" s="21" t="str">
        <x:v>Gate: Rule+API; RFI: RW-RFI-01; RW-RFI-05</x:v>
      </x:c>
      <x:c r="V8" s="22"/>
      <x:c r="W8" s="22"/>
    </x:row>
    <x:row r="9" ht="78" customHeight="1">
      <x:c r="A9" s="21" t="str">
        <x:v>RW-006</x:v>
      </x:c>
      <x:c r="B9" s="21" t="str">
        <x:v>Reward hết hạn/đã dùng/thiếu điểm</x:v>
      </x:c>
      <x:c r="C9" s="21" t="str">
        <x:v>Rewards</x:v>
      </x:c>
      <x:c r="D9" s="21" t="str">
        <x:v>Critical</x:v>
      </x:c>
      <x:c r="E9" s="21" t="str">
        <x:v>High</x:v>
      </x:c>
      <x:c r="F9" s="21" t="str">
        <x:v>Negative eligibility</x:v>
      </x:c>
      <x:c r="G9" s="21" t="str">
        <x:v>Staging/CRM sandbox đúng baseline; member, bill và reward QA cô lập. Có Rule+fixture và policy được phê duyệt trước khi chạy.</x:v>
      </x:c>
      <x:c r="H9" s="21" t="str">
        <x:v>1. Seed năm trường hợp expired/used/insufficient/wrong outlet/under threshold.
2. Thử áp dụng từng reward vào bill QA.
3. Đọc bill/điểm trước và sau mỗi lần.</x:v>
      </x:c>
      <x:c r="I9" s="21" t="str">
        <x:v>Lần lượt thử reward hết hạn, đã dùng, thiếu điểm, sai outlet và không đạt ngưỡng.</x:v>
      </x:c>
      <x:c r="J9" s="21" t="str">
        <x:v>Từ chối từng trường hợp, có lý do; điểm/bill/order không đổi.</x:v>
      </x:c>
      <x:c r="K9" s="22"/>
      <x:c r="L9" s="22" t="str">
        <x:v>Not Executed</x:v>
      </x:c>
      <x:c r="M9" s="22"/>
      <x:c r="N9" s="22"/>
      <x:c r="O9" s="21" t="str">
        <x:v>BRD 9.5.3</x:v>
      </x:c>
      <x:c r="P9" s="21" t="str">
        <x:v>Không</x:v>
      </x:c>
      <x:c r="Q9" s="21" t="str">
        <x:v>Gate: Rule+fixture; Owner: PO/CRM/BE; mở khi RW-RFI-01, RW-RFI-05 được chốt và contract/fixture staging sẵn sàng từ 26/10. Chưa chạy.</x:v>
      </x:c>
      <x:c r="R9" s="21" t="str">
        <x:v>TBD – endpoint QR/Rewards chưa có trên OpenAPI staging</x:v>
      </x:c>
      <x:c r="S9" s="21" t="str">
        <x:v>Chưa có</x:v>
      </x:c>
      <x:c r="T9" s="21" t="str">
        <x:v>High Level Requirements(2), Pos System BRD(2), 18/10/2026; supplement v1.0 Draft; staging /version 972b94294fe1</x:v>
      </x:c>
      <x:c r="U9" s="21" t="str">
        <x:v>Gate: Rule+fixture; RFI: RW-RFI-01; RW-RFI-05</x:v>
      </x:c>
      <x:c r="V9" s="22"/>
      <x:c r="W9" s="22"/>
    </x:row>
    <x:row r="10" ht="78" customHeight="1">
      <x:c r="A10" s="21" t="str">
        <x:v>RW-007</x:v>
      </x:c>
      <x:c r="B10" s="21" t="str">
        <x:v>Ngăn cộng dồn sai</x:v>
      </x:c>
      <x:c r="C10" s="21" t="str">
        <x:v>Rewards</x:v>
      </x:c>
      <x:c r="D10" s="21" t="str">
        <x:v>Critical</x:v>
      </x:c>
      <x:c r="E10" s="21" t="str">
        <x:v>High</x:v>
      </x:c>
      <x:c r="F10" s="21" t="str">
        <x:v>Stacking</x:v>
      </x:c>
      <x:c r="G10" s="21" t="str">
        <x:v>Staging/CRM sandbox đúng baseline; member, bill và reward QA cô lập. Có Stacking policy và policy được phê duyệt trước khi chạy.</x:v>
      </x:c>
      <x:c r="H10" s="21" t="str">
        <x:v>1. Chuẩn bị hai reward hoặc reward/promotion xung đột.
2. Áp dụng ưu đãi thứ nhất rồi thử ưu đãi thứ hai.
3. So rule stack và bill server.</x:v>
      </x:c>
      <x:c r="I10" s="21" t="str">
        <x:v>Chọn hai voucher/reward hoặc reward+promotion thuộc tổ hợp bị cấm.</x:v>
      </x:c>
      <x:c r="J10" s="21" t="str">
        <x:v>Không cộng dồn trái luật kinh doanh; UI và API thống nhất; giá tiền không âm.</x:v>
      </x:c>
      <x:c r="K10" s="22"/>
      <x:c r="L10" s="22" t="str">
        <x:v>Not Executed</x:v>
      </x:c>
      <x:c r="M10" s="22"/>
      <x:c r="N10" s="22"/>
      <x:c r="O10" s="21" t="str">
        <x:v>CRM-HL-004</x:v>
      </x:c>
      <x:c r="P10" s="21" t="str">
        <x:v>Không</x:v>
      </x:c>
      <x:c r="Q10" s="21" t="str">
        <x:v>Gate: Stacking policy; Owner: PO/BE; mở khi RW-RFI-03 được chốt và contract/fixture staging sẵn sàng từ 26/10. Chưa chạy.</x:v>
      </x:c>
      <x:c r="R10" s="21" t="str">
        <x:v>TBD – endpoint QR/Rewards chưa có trên OpenAPI staging</x:v>
      </x:c>
      <x:c r="S10" s="21" t="str">
        <x:v>Chưa có</x:v>
      </x:c>
      <x:c r="T10" s="21" t="str">
        <x:v>High Level Requirements(2), Pos System BRD(2), 18/10/2026; staging /version 972b94294fe1</x:v>
      </x:c>
      <x:c r="U10" s="21" t="str">
        <x:v>Gate: Stacking policy; RFI: RW-RFI-03</x:v>
      </x:c>
      <x:c r="V10" s="22"/>
      <x:c r="W10" s="22"/>
    </x:row>
    <x:row r="11" ht="78" customHeight="1">
      <x:c r="A11" s="21" t="str">
        <x:v>RW-008</x:v>
      </x:c>
      <x:c r="B11" s="21" t="str">
        <x:v>Giới hạn khuyến mãi cấu hình</x:v>
      </x:c>
      <x:c r="C11" s="21" t="str">
        <x:v>Rewards</x:v>
      </x:c>
      <x:c r="D11" s="21" t="str">
        <x:v>Critical</x:v>
      </x:c>
      <x:c r="E11" s="21" t="str">
        <x:v>High</x:v>
      </x:c>
      <x:c r="F11" s="21" t="str">
        <x:v>Legal policy</x:v>
      </x:c>
      <x:c r="G11" s="21" t="str">
        <x:v>Staging/CRM sandbox đúng baseline; member, bill và reward QA cô lập. Có Legal RFI và policy được phê duyệt trước khi chạy.</x:v>
      </x:c>
      <x:c r="H11" s="21" t="str">
        <x:v>1. PO/Pháp chế cung cấp cap đã duyệt và rule version.
2. Thử đúng ngưỡng, dưới ngưỡng và vượt ngưỡng.
3. Đọc discount/bill/log quyết định.</x:v>
      </x:c>
      <x:c r="I11" s="21" t="str">
        <x:v>Thử mức giảm đúng ngưỡng và vượt ngưỡng do PO/Pháp chế cấu hình.</x:v>
      </x:c>
      <x:c r="J11" s="21" t="str">
        <x:v>Áp dụng quy tắc đã phê duyệt, không suy diễn rằng 50% áp cho mọi chương trình; trả lỗi có lý do và lưu bằng chứng rule version.</x:v>
      </x:c>
      <x:c r="K11" s="22"/>
      <x:c r="L11" s="22" t="str">
        <x:v>Not Executed</x:v>
      </x:c>
      <x:c r="M11" s="22"/>
      <x:c r="N11" s="22"/>
      <x:c r="O11" s="21" t="str">
        <x:v>CRM-HL-003; SRS BR-008</x:v>
      </x:c>
      <x:c r="P11" s="21" t="str">
        <x:v>Không</x:v>
      </x:c>
      <x:c r="Q11" s="21" t="str">
        <x:v>Gate: Legal RFI; Owner: PO/Pháp chế; mở khi RW-RFI-02 được chốt và contract/fixture staging sẵn sàng từ 26/10. Chưa chạy.</x:v>
      </x:c>
      <x:c r="R11" s="21" t="str">
        <x:v>TBD – endpoint QR/Rewards chưa có trên OpenAPI staging</x:v>
      </x:c>
      <x:c r="S11" s="21" t="str">
        <x:v>Chưa có</x:v>
      </x:c>
      <x:c r="T11" s="21" t="str">
        <x:v>High Level Requirements(2), Pos System BRD(2), 18/10/2026; staging /version 972b94294fe1</x:v>
      </x:c>
      <x:c r="U11" s="21" t="str">
        <x:v>Gate: Legal RFI; RFI: RW-RFI-02</x:v>
      </x:c>
      <x:c r="V11" s="22"/>
      <x:c r="W11" s="22"/>
    </x:row>
    <x:row r="12" ht="78" customHeight="1">
      <x:c r="A12" s="21" t="str">
        <x:v>RW-009</x:v>
      </x:c>
      <x:c r="B12" s="21" t="str">
        <x:v>Supervisor override và audit</x:v>
      </x:c>
      <x:c r="C12" s="21" t="str">
        <x:v>Rewards</x:v>
      </x:c>
      <x:c r="D12" s="21" t="str">
        <x:v>Critical</x:v>
      </x:c>
      <x:c r="E12" s="21" t="str">
        <x:v>High</x:v>
      </x:c>
      <x:c r="F12" s="21" t="str">
        <x:v>RBAC / audit</x:v>
      </x:c>
      <x:c r="G12" s="21" t="str">
        <x:v>Staging/CRM sandbox đúng baseline; member, bill và reward QA cô lập. Có RBAC+audit và policy được phê duyệt trước khi chạy.</x:v>
      </x:c>
      <x:c r="H12" s="21" t="str">
        <x:v>1. Chuẩn bị ca override hợp lệ và lý do QA.
2. Supervisor thử override; Cashier/Customer thử tương tự.
3. Đọc bill và audit actor/time/old-new.</x:v>
      </x:c>
      <x:c r="I12" s="21" t="str">
        <x:v>Supervisor override một trường hợp được phép rồi xem audit; Cashier/Customer thử override tương tự.</x:v>
      </x:c>
      <x:c r="J12" s="21" t="str">
        <x:v>Chỉ vai trò được duyệt thành công; actor, lý do, giá trị trước/sau, thời điểm được ghi; người không phép bị từ chối.</x:v>
      </x:c>
      <x:c r="K12" s="22"/>
      <x:c r="L12" s="22" t="str">
        <x:v>Not Executed</x:v>
      </x:c>
      <x:c r="M12" s="22"/>
      <x:c r="N12" s="22"/>
      <x:c r="O12" s="21" t="str">
        <x:v>CRM-HL-005</x:v>
      </x:c>
      <x:c r="P12" s="21" t="str">
        <x:v>Không</x:v>
      </x:c>
      <x:c r="Q12" s="21" t="str">
        <x:v>Gate: RBAC+audit; Owner: PO/BE; mở khi RW-RFI-03 được chốt và contract/fixture staging sẵn sàng từ 26/10. Chưa chạy.</x:v>
      </x:c>
      <x:c r="R12" s="21" t="str">
        <x:v>TBD – endpoint QR/Rewards chưa có trên OpenAPI staging</x:v>
      </x:c>
      <x:c r="S12" s="21" t="str">
        <x:v>Chưa có</x:v>
      </x:c>
      <x:c r="T12" s="21" t="str">
        <x:v>High Level Requirements(2), Pos System BRD(2), 18/10/2026; staging /version 972b94294fe1</x:v>
      </x:c>
      <x:c r="U12" s="21" t="str">
        <x:v>Gate: RBAC+audit; RFI: RW-RFI-03</x:v>
      </x:c>
      <x:c r="V12" s="22"/>
      <x:c r="W12" s="22"/>
    </x:row>
    <x:row r="13" ht="78" customHeight="1">
      <x:c r="A13" s="21" t="str">
        <x:v>RW-010</x:v>
      </x:c>
      <x:c r="B13" s="21" t="str">
        <x:v>Retry apply không trừ điểm hai lần</x:v>
      </x:c>
      <x:c r="C13" s="21" t="str">
        <x:v>Rewards</x:v>
      </x:c>
      <x:c r="D13" s="21" t="str">
        <x:v>Critical</x:v>
      </x:c>
      <x:c r="E13" s="21" t="str">
        <x:v>High</x:v>
      </x:c>
      <x:c r="F13" s="21" t="str">
        <x:v>Idempotency</x:v>
      </x:c>
      <x:c r="G13" s="21" t="str">
        <x:v>Staging/CRM sandbox đúng baseline; member, bill và reward QA cô lập. Có Idempotency và policy được phê duyệt trước khi chạy.</x:v>
      </x:c>
      <x:c r="H13" s="21" t="str">
        <x:v>1. Ghi điểm và bill ban đầu; tạo một key.
2. Apply cùng reward/body hai lần hoặc sau timeout.
3. Đọc bill, ledger, audit và response.</x:v>
      </x:c>
      <x:c r="I13" s="21" t="str">
        <x:v>Gửi lại áp dụng reward cùng idempotency key/body sau timeout.</x:v>
      </x:c>
      <x:c r="J13" s="21" t="str">
        <x:v>Cùng kết quả, không trừ điểm hoặc giảm tiền hai lần; audit chỉ ghi tác động một lần.</x:v>
      </x:c>
      <x:c r="K13" s="22"/>
      <x:c r="L13" s="22" t="str">
        <x:v>Not Executed</x:v>
      </x:c>
      <x:c r="M13" s="22"/>
      <x:c r="N13" s="22"/>
      <x:c r="O13" s="21" t="str">
        <x:v>BRD 9.5.5–9.5.6</x:v>
      </x:c>
      <x:c r="P13" s="21" t="str">
        <x:v>Không</x:v>
      </x:c>
      <x:c r="Q13" s="21" t="str">
        <x:v>Gate: Idempotency; Owner: BE/CRM; mở khi RW-RFI-05 được chốt và contract/fixture staging sẵn sàng từ 26/10. Chưa chạy.</x:v>
      </x:c>
      <x:c r="R13" s="21" t="str">
        <x:v>TBD – endpoint QR/Rewards chưa có trên OpenAPI staging</x:v>
      </x:c>
      <x:c r="S13" s="21" t="str">
        <x:v>Chưa có</x:v>
      </x:c>
      <x:c r="T13" s="21" t="str">
        <x:v>High Level Requirements(2), Pos System BRD(2), 18/10/2026; supplement v1.0 Draft; staging /version 972b94294fe1</x:v>
      </x:c>
      <x:c r="U13" s="21" t="str">
        <x:v>Gate: Idempotency; RFI: RW-RFI-05</x:v>
      </x:c>
      <x:c r="V13" s="22"/>
      <x:c r="W13" s="22"/>
    </x:row>
    <x:row r="14" ht="78" customHeight="1">
      <x:c r="A14" s="21" t="str">
        <x:v>RW-011</x:v>
      </x:c>
      <x:c r="B14" s="21" t="str">
        <x:v>Redeem đồng thời trên hai bill</x:v>
      </x:c>
      <x:c r="C14" s="21" t="str">
        <x:v>Rewards</x:v>
      </x:c>
      <x:c r="D14" s="21" t="str">
        <x:v>Critical</x:v>
      </x:c>
      <x:c r="E14" s="21" t="str">
        <x:v>High</x:v>
      </x:c>
      <x:c r="F14" s="21" t="str">
        <x:v>Concurrency</x:v>
      </x:c>
      <x:c r="G14" s="21" t="str">
        <x:v>Staging/CRM sandbox đúng baseline; member, bill và reward QA cô lập. Có Concurrency và policy được phê duyệt trước khi chạy.</x:v>
      </x:c>
      <x:c r="H14" s="21" t="str">
        <x:v>1. Một member có reward dùng một lần và hai bill QA.
2. Hai client redeem gần đồng thời.
3. Đọc kết quả hai bill và ledger.</x:v>
      </x:c>
      <x:c r="I14" s="21" t="str">
        <x:v>Hai thiết bị dùng cùng reward/điểm cho hai bill đồng thời.</x:v>
      </x:c>
      <x:c r="J14" s="21" t="str">
        <x:v>Chỉ các lượt nằm trong số dư/quy tắc được chấp nhận; không âm điểm hoặc double spend; dữ liệu nhất quán.</x:v>
      </x:c>
      <x:c r="K14" s="22"/>
      <x:c r="L14" s="22" t="str">
        <x:v>Not Executed</x:v>
      </x:c>
      <x:c r="M14" s="22"/>
      <x:c r="N14" s="22"/>
      <x:c r="O14" s="21" t="str">
        <x:v>BRD 9.5.6</x:v>
      </x:c>
      <x:c r="P14" s="21" t="str">
        <x:v>Không</x:v>
      </x:c>
      <x:c r="Q14" s="21" t="str">
        <x:v>Gate: Concurrency; Owner: BE/CRM; mở khi RW-RFI-05 được chốt và contract/fixture staging sẵn sàng từ 26/10. Chưa chạy.</x:v>
      </x:c>
      <x:c r="R14" s="21" t="str">
        <x:v>TBD – endpoint QR/Rewards chưa có trên OpenAPI staging</x:v>
      </x:c>
      <x:c r="S14" s="21" t="str">
        <x:v>Chưa có</x:v>
      </x:c>
      <x:c r="T14" s="21" t="str">
        <x:v>High Level Requirements(2), Pos System BRD(2), 18/10/2026; supplement v1.0 Draft; staging /version 972b94294fe1</x:v>
      </x:c>
      <x:c r="U14" s="21" t="str">
        <x:v>Gate: Concurrency; RFI: RW-RFI-05</x:v>
      </x:c>
      <x:c r="V14" s="22"/>
      <x:c r="W14" s="22"/>
    </x:row>
    <x:row r="15" ht="78" customHeight="1">
      <x:c r="A15" s="21" t="str">
        <x:v>RW-012</x:v>
      </x:c>
      <x:c r="B15" s="21" t="str">
        <x:v>CRM lỗi không khóa payment</x:v>
      </x:c>
      <x:c r="C15" s="21" t="str">
        <x:v>Rewards</x:v>
      </x:c>
      <x:c r="D15" s="21" t="str">
        <x:v>Critical</x:v>
      </x:c>
      <x:c r="E15" s="21" t="str">
        <x:v>High</x:v>
      </x:c>
      <x:c r="F15" s="21" t="str">
        <x:v>Failure / fallback</x:v>
      </x:c>
      <x:c r="G15" s="21" t="str">
        <x:v>Staging/CRM sandbox đúng baseline; member, bill và reward QA cô lập. Có CRM failure và policy được phê duyệt trước khi chạy.</x:v>
      </x:c>
      <x:c r="H15" s="21" t="str">
        <x:v>1. Sandbox CRM được cấu hình timeout và 5xx; bill QA đã đủ điều kiện pay.
2. Thử lookup/reward rồi thanh toán mô phỏng.
3. Đối chiếu bill, payment status và thông báo.</x:v>
      </x:c>
      <x:c r="I15" s="21" t="str">
        <x:v>Giả lập CRM timeout/5xx tại nhận diện, lấy reward và bước pay bằng payment sandbox.</x:v>
      </x:c>
      <x:c r="J15" s="21" t="str">
        <x:v>Thanh toán được phép tiếp tục theo cơ chế fallback đã duyệt; thông báo rõ reward tạm không dùng; không tạo giảm giá/điểm ảo.</x:v>
      </x:c>
      <x:c r="K15" s="22"/>
      <x:c r="L15" s="22" t="str">
        <x:v>Not Executed</x:v>
      </x:c>
      <x:c r="M15" s="22"/>
      <x:c r="N15" s="22"/>
      <x:c r="O15" s="21" t="str">
        <x:v>CRM-HL-002; SRS BR-007</x:v>
      </x:c>
      <x:c r="P15" s="21" t="str">
        <x:v>Không</x:v>
      </x:c>
      <x:c r="Q15" s="21" t="str">
        <x:v>Gate: CRM failure; Owner: PO/BE/CRM; mở khi RW-RFI-04, RW-RFI-05 được chốt và contract/fixture staging sẵn sàng từ 26/10. Chưa chạy.</x:v>
      </x:c>
      <x:c r="R15" s="21" t="str">
        <x:v>TBD – endpoint QR/Rewards chưa có trên OpenAPI staging</x:v>
      </x:c>
      <x:c r="S15" s="21" t="str">
        <x:v>Chưa có</x:v>
      </x:c>
      <x:c r="T15" s="21" t="str">
        <x:v>High Level Requirements(2), Pos System BRD(2), 18/10/2026; staging /version 972b94294fe1</x:v>
      </x:c>
      <x:c r="U15" s="21" t="str">
        <x:v>Gate: CRM failure; RFI: RW-RFI-04; RW-RFI-05</x:v>
      </x:c>
      <x:c r="V15" s="22"/>
      <x:c r="W15" s="22"/>
    </x:row>
    <x:row r="16" ht="78" customHeight="1">
      <x:c r="A16" s="21" t="str">
        <x:v>RW-013</x:v>
      </x:c>
      <x:c r="B16" s="21" t="str">
        <x:v>SLA Rewards ≤30 giây</x:v>
      </x:c>
      <x:c r="C16" s="21" t="str">
        <x:v>Rewards</x:v>
      </x:c>
      <x:c r="D16" s="21" t="str">
        <x:v>Critical</x:v>
      </x:c>
      <x:c r="E16" s="21" t="str">
        <x:v>High</x:v>
      </x:c>
      <x:c r="F16" s="21" t="str">
        <x:v>Performance</x:v>
      </x:c>
      <x:c r="G16" s="21" t="str">
        <x:v>Staging/CRM sandbox đúng baseline; member, bill và reward QA cô lập. Có SLA measurement và policy được phê duyệt trước khi chạy.</x:v>
      </x:c>
      <x:c r="H16" s="21" t="str">
        <x:v>1. PO chốt t0/t1 và mức tải; tạo member/bill QA.
2. Đo nhận diện → chọn → apply trên POS và QR nhiều mẫu.
3. Lưu trace các mốc CRM/FE/BE và thống kê.</x:v>
      </x:c>
      <x:c r="I16" s="21" t="str">
        <x:v>Đo nhiều mẫu nhận diện → chọn → áp dụng reward trên mobile/POS và tải dự kiến.</x:v>
      </x:c>
      <x:c r="J16" s="21" t="str">
        <x:v>Luồng theo định nghĩa PO hoàn tất ≤30 giây; tách thời gian gọi CRM để phân tích. Mốc 3s/10s trong nguồn là xung đột cần RFI.</x:v>
      </x:c>
      <x:c r="K16" s="22"/>
      <x:c r="L16" s="22" t="str">
        <x:v>Not Executed</x:v>
      </x:c>
      <x:c r="M16" s="22"/>
      <x:c r="N16" s="22"/>
      <x:c r="O16" s="21" t="str">
        <x:v>CRM-HL-001; SRS conflict-02</x:v>
      </x:c>
      <x:c r="P16" s="21" t="str">
        <x:v>Không</x:v>
      </x:c>
      <x:c r="Q16" s="21" t="str">
        <x:v>Gate: SLA measurement; Owner: PO/BE; mở khi RW-RFI-04 được chốt và contract/fixture staging sẵn sàng từ 26/10. Chưa chạy.</x:v>
      </x:c>
      <x:c r="R16" s="21" t="str">
        <x:v>TBD – endpoint QR/Rewards chưa có trên OpenAPI staging</x:v>
      </x:c>
      <x:c r="S16" s="21" t="str">
        <x:v>Chưa có</x:v>
      </x:c>
      <x:c r="T16" s="21" t="str">
        <x:v>High Level Requirements(2), Pos System BRD(2), 18/10/2026; staging /version 972b94294fe1</x:v>
      </x:c>
      <x:c r="U16" s="21" t="str">
        <x:v>Gate: SLA measurement; RFI: RW-RFI-04</x:v>
      </x:c>
      <x:c r="V16" s="22"/>
      <x:c r="W16" s="22"/>
    </x:row>
    <x:row r="17" ht="78" customHeight="1">
      <x:c r="A17" s="21" t="str">
        <x:v>RW-014</x:v>
      </x:c>
      <x:c r="B17" s="21" t="str">
        <x:v>Gỡ reward trước pay</x:v>
      </x:c>
      <x:c r="C17" s="21" t="str">
        <x:v>Rewards</x:v>
      </x:c>
      <x:c r="D17" s="21" t="str">
        <x:v>High</x:v>
      </x:c>
      <x:c r="E17" s="21" t="str">
        <x:v>Medium</x:v>
      </x:c>
      <x:c r="F17" s="21" t="str">
        <x:v>Removal</x:v>
      </x:c>
      <x:c r="G17" s="21" t="str">
        <x:v>Staging/CRM sandbox đúng baseline; member, bill và reward QA cô lập. Có Removal policy và policy được phê duyệt trước khi chạy.</x:v>
      </x:c>
      <x:c r="H17" s="21" t="str">
        <x:v>1. Apply reward hợp lệ và ghi bill/điểm.
2. Gỡ reward một lần rồi retry gỡ.
3. Đọc bill, reward status và audit.</x:v>
      </x:c>
      <x:c r="I17" s="21" t="str">
        <x:v>Gỡ reward đã áp dụng trước thanh toán và đọc lại bill/điểm.</x:v>
      </x:c>
      <x:c r="J17" s="21" t="str">
        <x:v>Chỉ gỡ một lần, phục hồi trạng thái và số dư theo policy, tổng tiền tính lại; có audit.</x:v>
      </x:c>
      <x:c r="K17" s="22"/>
      <x:c r="L17" s="22" t="str">
        <x:v>Not Executed</x:v>
      </x:c>
      <x:c r="M17" s="22"/>
      <x:c r="N17" s="22"/>
      <x:c r="O17" s="21" t="str">
        <x:v>BRD 9.5.5–9.5.6</x:v>
      </x:c>
      <x:c r="P17" s="21" t="str">
        <x:v>Không</x:v>
      </x:c>
      <x:c r="Q17" s="21" t="str">
        <x:v>Gate: Removal policy; Owner: PO/BE; mở khi RW-RFI-03 được chốt và contract/fixture staging sẵn sàng từ 26/10. Chưa chạy.</x:v>
      </x:c>
      <x:c r="R17" s="21" t="str">
        <x:v>TBD – endpoint QR/Rewards chưa có trên OpenAPI staging</x:v>
      </x:c>
      <x:c r="S17" s="21" t="str">
        <x:v>Chưa có</x:v>
      </x:c>
      <x:c r="T17" s="21" t="str">
        <x:v>High Level Requirements(2), Pos System BRD(2), 18/10/2026; supplement v1.0 Draft; staging /version 972b94294fe1</x:v>
      </x:c>
      <x:c r="U17" s="21" t="str">
        <x:v>Gate: Removal policy; RFI: RW-RFI-03</x:v>
      </x:c>
      <x:c r="V17" s="22"/>
      <x:c r="W17" s="22"/>
    </x:row>
    <x:row r="18" ht="78" customHeight="1">
      <x:c r="A18" s="21" t="str">
        <x:v>RW-015</x:v>
      </x:c>
      <x:c r="B18" s="21" t="str">
        <x:v>Không lộ dữ liệu Rewards</x:v>
      </x:c>
      <x:c r="C18" s="21" t="str">
        <x:v>Rewards</x:v>
      </x:c>
      <x:c r="D18" s="21" t="str">
        <x:v>Critical</x:v>
      </x:c>
      <x:c r="E18" s="21" t="str">
        <x:v>High</x:v>
      </x:c>
      <x:c r="F18" s="21" t="str">
        <x:v>Security</x:v>
      </x:c>
      <x:c r="G18" s="21" t="str">
        <x:v>Staging/CRM sandbox đúng baseline; member, bill và reward QA cô lập. Có Security và policy được phê duyệt trước khi chạy.</x:v>
      </x:c>
      <x:c r="H18" s="21" t="str">
        <x:v>1. Chuẩn bị member A/B và account/outlet tương ứng.
2. Dùng quyền không hợp lệ đọc hồ sơ/reward A hoặc gửi trên bill B.
3. Kiểm HTTP/PII/ledger/log theo contract.</x:v>
      </x:c>
      <x:c r="I18" s="21" t="str">
        <x:v>Dùng Customer/Cashier/outlet khác truy vấn hồ sơ và reward không thuộc quyền; kiểm tra response/log.</x:v>
      </x:c>
      <x:c r="J18" s="21" t="str">
        <x:v>Không lộ PII/điểm; RBAC và outlet isolation đúng contract; log không chứa số điện thoại/token đầy đủ.</x:v>
      </x:c>
      <x:c r="K18" s="22"/>
      <x:c r="L18" s="22" t="str">
        <x:v>Not Executed</x:v>
      </x:c>
      <x:c r="M18" s="22"/>
      <x:c r="N18" s="22"/>
      <x:c r="O18" s="21" t="str">
        <x:v>Security; CRM-HL-005</x:v>
      </x:c>
      <x:c r="P18" s="21" t="str">
        <x:v>Không</x:v>
      </x:c>
      <x:c r="Q18" s="21" t="str">
        <x:v>Gate: Security; Owner: BE/CRM; mở khi RW-RFI-05 được chốt và contract/fixture staging sẵn sàng từ 26/10. Chưa chạy.</x:v>
      </x:c>
      <x:c r="R18" s="21" t="str">
        <x:v>TBD – endpoint QR/Rewards chưa có trên OpenAPI staging</x:v>
      </x:c>
      <x:c r="S18" s="21" t="str">
        <x:v>Chưa có</x:v>
      </x:c>
      <x:c r="T18" s="21" t="str">
        <x:v>High Level Requirements(2), Pos System BRD(2), 18/10/2026; staging /version 972b94294fe1</x:v>
      </x:c>
      <x:c r="U18" s="21" t="str">
        <x:v>Gate: Security; RFI: RW-RFI-05</x:v>
      </x:c>
      <x:c r="V18" s="22"/>
      <x:c r="W18" s="22"/>
    </x:row>
    <x:row r="19" ht="78" customHeight="1">
      <x:c r="A19" s="21" t="str">
        <x:v>RW-016</x:v>
      </x:c>
      <x:c r="B19" s="21" t="str">
        <x:v>Hoàn điểm khi refund/hủy</x:v>
      </x:c>
      <x:c r="C19" s="21" t="str">
        <x:v>Rewards</x:v>
      </x:c>
      <x:c r="D19" s="21" t="str">
        <x:v>High</x:v>
      </x:c>
      <x:c r="E19" s="21" t="str">
        <x:v>Medium</x:v>
      </x:c>
      <x:c r="F19" s="21" t="str">
        <x:v>Reversal</x:v>
      </x:c>
      <x:c r="G19" s="21" t="str">
        <x:v>Staging/CRM sandbox đúng baseline; member, bill và reward QA cô lập. Có Refund RFI và policy được phê duyệt trước khi chạy.</x:v>
      </x:c>
      <x:c r="H19" s="21" t="str">
        <x:v>1. Redeem reward và hoàn tất pay sandbox.
2. Thực hiện refund/cancel được hỗ trợ; retry cùng key.
3. Đọc ledger, voucher và bill.</x:v>
      </x:c>
      <x:c r="I19" s="21" t="str">
        <x:v>Hủy/refund thanh toán có reward đã đổi, dùng fixture có payment sandbox.</x:v>
      </x:c>
      <x:c r="J19" s="21" t="str">
        <x:v>Điểm/voucher và sổ tiền điều chỉnh đúng policy được duyệt; xử lý retry không lặp; nếu chưa có chính sách thì case Pending.</x:v>
      </x:c>
      <x:c r="K19" s="22"/>
      <x:c r="L19" s="22" t="str">
        <x:v>Not Executed</x:v>
      </x:c>
      <x:c r="M19" s="22"/>
      <x:c r="N19" s="22"/>
      <x:c r="O19" s="21" t="str">
        <x:v>BRD 9.5.6</x:v>
      </x:c>
      <x:c r="P19" s="21" t="str">
        <x:v>Không</x:v>
      </x:c>
      <x:c r="Q19" s="21" t="str">
        <x:v>Gate: Refund RFI; Owner: PO/BE; mở khi RW-RFI-03 được chốt và contract/fixture staging sẵn sàng từ 26/10. Chưa chạy.</x:v>
      </x:c>
      <x:c r="R19" s="21" t="str">
        <x:v>TBD – endpoint QR/Rewards chưa có trên OpenAPI staging</x:v>
      </x:c>
      <x:c r="S19" s="21" t="str">
        <x:v>Chưa có</x:v>
      </x:c>
      <x:c r="T19" s="21" t="str">
        <x:v>High Level Requirements(2), Pos System BRD(2), 18/10/2026; supplement v1.0 Draft; staging /version 972b94294fe1</x:v>
      </x:c>
      <x:c r="U19" s="21" t="str">
        <x:v>Gate: Refund RFI; RFI: RW-RFI-03</x:v>
      </x:c>
      <x:c r="V19" s="22"/>
      <x:c r="W19" s="22"/>
    </x:row>
    <x:row r="20" ht="78" customHeight="1">
      <x:c r="A20" s="21" t="str">
        <x:v>RW-017</x:v>
      </x:c>
      <x:c r="B20" s="21" t="str">
        <x:v>Bill thay đổi phải tính lại eligibility</x:v>
      </x:c>
      <x:c r="C20" s="21" t="str">
        <x:v>Rewards</x:v>
      </x:c>
      <x:c r="D20" s="21" t="str">
        <x:v>Critical</x:v>
      </x:c>
      <x:c r="E20" s="21" t="str">
        <x:v>High</x:v>
      </x:c>
      <x:c r="F20" s="21" t="str">
        <x:v>Recalculation</x:v>
      </x:c>
      <x:c r="G20" s="21" t="str">
        <x:v>Staging/CRM sandbox đúng baseline; member, bill và reward QA cô lập. Có PO rule+API và policy được phê duyệt trước khi chạy.</x:v>
      </x:c>
      <x:c r="H20" s="21" t="str">
        <x:v>1. Apply reward đủ điều kiện trên bill QA.
2. Thêm/void item làm bill không đủ điều kiện.
3. Thử pay/apply lại; đọc bill và ledger.</x:v>
      </x:c>
      <x:c r="I20" s="21" t="str">
        <x:v>Áp dụng reward đủ điều kiện; thay bill bằng thêm/void món trước pay; đọc và thử dùng lại.</x:v>
      </x:c>
      <x:c r="J20" s="21" t="str">
        <x:v>Server tính lại eligibility theo bill mới; tổng tiền/điểm nhất quán; không giữ discount cũ nếu không đủ điều kiện.</x:v>
      </x:c>
      <x:c r="K20" s="22"/>
      <x:c r="L20" s="22" t="str">
        <x:v>Not Executed</x:v>
      </x:c>
      <x:c r="M20" s="22"/>
      <x:c r="N20" s="22"/>
      <x:c r="O20" s="21" t="str">
        <x:v>BR-CRM-002; supplement §9.5.3 (Draft)</x:v>
      </x:c>
      <x:c r="P20" s="21" t="str">
        <x:v>Không</x:v>
      </x:c>
      <x:c r="Q20" s="21" t="str">
        <x:v>Gate: PO rule+API; Owner: PO/CRM/BE; mở khi RW-RFI-01, RW-RFI-05 được chốt và contract/fixture staging sẵn sàng từ 26/10. Chưa chạy.</x:v>
      </x:c>
      <x:c r="R20" s="21" t="str">
        <x:v>TBD – endpoint QR/Rewards chưa có trên OpenAPI staging</x:v>
      </x:c>
      <x:c r="S20" s="21" t="str">
        <x:v>Chưa có</x:v>
      </x:c>
      <x:c r="T20" s="21" t="str">
        <x:v>High Level Requirements(2), Pos System BRD(2), 18/10/2026; supplement v1.0 Draft; staging /version 972b94294fe1</x:v>
      </x:c>
      <x:c r="U20" s="21" t="str">
        <x:v>Gate: PO rule+API; RFI: RW-RFI-01; RW-RFI-05</x:v>
      </x:c>
      <x:c r="V20" s="22"/>
      <x:c r="W20" s="22"/>
    </x:row>
    <x:row r="21" ht="78" customHeight="1">
      <x:c r="A21" s="21" t="str">
        <x:v>RW-018</x:v>
      </x:c>
      <x:c r="B21" s="21" t="str">
        <x:v>Tích điểm đúng một lần sau pay</x:v>
      </x:c>
      <x:c r="C21" s="21" t="str">
        <x:v>Rewards</x:v>
      </x:c>
      <x:c r="D21" s="21" t="str">
        <x:v>High</x:v>
      </x:c>
      <x:c r="E21" s="21" t="str">
        <x:v>Medium</x:v>
      </x:c>
      <x:c r="F21" s="21" t="str">
        <x:v>Earning</x:v>
      </x:c>
      <x:c r="G21" s="21" t="str">
        <x:v>Staging/CRM sandbox đúng baseline; member, bill và reward QA cô lập. Có Earning policy và policy được phê duyệt trước khi chạy.</x:v>
      </x:c>
      <x:c r="H21" s="21" t="str">
        <x:v>1. Ghi điểm trước pay và policy earn.
2. Pay sandbox thành công rồi replay cùng transaction; thử bill chưa pay đối chứng.
3. Đọc ledger và số dư sau mỗi lần.</x:v>
      </x:c>
      <x:c r="I21" s="21" t="str">
        <x:v>Thanh toán sandbox thành công hai lần retry cùng transaction; đọc ledger điểm trước/sau.</x:v>
      </x:c>
      <x:c r="J21" s="21" t="str">
        <x:v>Tích điểm đúng một lần theo policy được duyệt; không cộng điểm trên lần replay hoặc bill chưa PAID.</x:v>
      </x:c>
      <x:c r="K21" s="22"/>
      <x:c r="L21" s="22" t="str">
        <x:v>Not Executed</x:v>
      </x:c>
      <x:c r="M21" s="22"/>
      <x:c r="N21" s="22"/>
      <x:c r="O21" s="21" t="str">
        <x:v>supplement §9.5.6 (Draft)</x:v>
      </x:c>
      <x:c r="P21" s="21" t="str">
        <x:v>Không</x:v>
      </x:c>
      <x:c r="Q21" s="21" t="str">
        <x:v>Gate: Earning policy; Owner: PO/CRM/BE; mở khi RW-RFI-01, RW-RFI-03 được chốt và contract/fixture staging sẵn sàng từ 26/10. Chưa chạy.</x:v>
      </x:c>
      <x:c r="R21" s="21" t="str">
        <x:v>TBD – endpoint QR/Rewards chưa có trên OpenAPI staging</x:v>
      </x:c>
      <x:c r="S21" s="21" t="str">
        <x:v>Chưa có</x:v>
      </x:c>
      <x:c r="T21" s="21" t="str">
        <x:v>High Level Requirements(2), Pos System BRD(2), 18/10/2026; supplement v1.0 Draft; staging /version 972b94294fe1</x:v>
      </x:c>
      <x:c r="U21" s="21" t="str">
        <x:v>Gate: Earning policy; RFI: RW-RFI-01; RW-RFI-03</x:v>
      </x:c>
      <x:c r="V21" s="22"/>
      <x:c r="W21" s="22"/>
    </x:row>
    <x:row r="22" ht="78" customHeight="1">
      <x:c r="A22" s="21" t="str">
        <x:v>RW-019</x:v>
      </x:c>
      <x:c r="B22" s="21" t="str">
        <x:v>Theo dõi earn/redeem/reversal</x:v>
      </x:c>
      <x:c r="C22" s="21" t="str">
        <x:v>Rewards</x:v>
      </x:c>
      <x:c r="D22" s="21" t="str">
        <x:v>High</x:v>
      </x:c>
      <x:c r="E22" s="21" t="str">
        <x:v>Medium</x:v>
      </x:c>
      <x:c r="F22" s="21" t="str">
        <x:v>Ledger / audit</x:v>
      </x:c>
      <x:c r="G22" s="21" t="str">
        <x:v>Staging/CRM sandbox đúng baseline; member, bill và reward QA cô lập. Có Ledger contract và policy được phê duyệt trước khi chạy.</x:v>
      </x:c>
      <x:c r="H22" s="21" t="str">
        <x:v>1. Chuẩn bị member và bill QA.
2. Apply reward, pay, rồi reversal theo contract.
3. Đọc các entry liên kết bill/actor/timestamp.</x:v>
      </x:c>
      <x:c r="I22" s="21" t="str">
        <x:v>Redeem reward rồi đối chiếu trạng thái/reward ledger và audit qua từng bước apply, pay, reversal được phép.</x:v>
      </x:c>
      <x:c r="J22" s="21" t="str">
        <x:v>Lịch sử earn/redeem/reversal liên kết bill và actor; không mất hoặc nhân đôi giao dịch.</x:v>
      </x:c>
      <x:c r="K22" s="22"/>
      <x:c r="L22" s="22" t="str">
        <x:v>Not Executed</x:v>
      </x:c>
      <x:c r="M22" s="22"/>
      <x:c r="N22" s="22"/>
      <x:c r="O22" s="21" t="str">
        <x:v>supplement §9.5.6 (Draft)</x:v>
      </x:c>
      <x:c r="P22" s="21" t="str">
        <x:v>Không</x:v>
      </x:c>
      <x:c r="Q22" s="21" t="str">
        <x:v>Gate: Ledger contract; Owner: BE/CRM; mở khi RW-RFI-05 được chốt và contract/fixture staging sẵn sàng từ 26/10. Chưa chạy.</x:v>
      </x:c>
      <x:c r="R22" s="21" t="str">
        <x:v>TBD – endpoint QR/Rewards chưa có trên OpenAPI staging</x:v>
      </x:c>
      <x:c r="S22" s="21" t="str">
        <x:v>Chưa có</x:v>
      </x:c>
      <x:c r="T22" s="21" t="str">
        <x:v>High Level Requirements(2), Pos System BRD(2), 18/10/2026; supplement v1.0 Draft; staging /version 972b94294fe1</x:v>
      </x:c>
      <x:c r="U22" s="21" t="str">
        <x:v>Gate: Ledger contract; RFI: RW-RFI-05</x:v>
      </x:c>
      <x:c r="V22" s="22"/>
      <x:c r="W22" s="22"/>
    </x:row>
    <x:row r="23" ht="78" customHeight="1">
      <x:c r="A23" s="21" t="str">
        <x:v>RW-020</x:v>
      </x:c>
      <x:c r="B23" s="21" t="str">
        <x:v>Client sửa số tiền giảm giá</x:v>
      </x:c>
      <x:c r="C23" s="21" t="str">
        <x:v>Rewards</x:v>
      </x:c>
      <x:c r="D23" s="21" t="str">
        <x:v>Critical</x:v>
      </x:c>
      <x:c r="E23" s="21" t="str">
        <x:v>High</x:v>
      </x:c>
      <x:c r="F23" s="21" t="str">
        <x:v>Tampering</x:v>
      </x:c>
      <x:c r="G23" s="21" t="str">
        <x:v>Staging/CRM sandbox đúng baseline; member, bill và reward QA cô lập. Có Security contract và policy được phê duyệt trước khi chạy.</x:v>
      </x:c>
      <x:c r="H23" s="21" t="str">
        <x:v>1. Tạo bill không đủ điều kiện.
2. Sửa reward_id, discount_amount hoặc eligibility trong request.
3. Đọc response, bill và điểm trước/sau.</x:v>
      </x:c>
      <x:c r="I23" s="21" t="str">
        <x:v>Sửa reward_id, discount_amount/eligibility trong request client; gửi lên server trên bill không đủ điều kiện.</x:v>
      </x:c>
      <x:c r="J23" s="21" t="str">
        <x:v>Server tự validate; không tin số tiền client; từ chối hoặc tính lại theo policy, bill/điểm không đổi khi invalid.</x:v>
      </x:c>
      <x:c r="K23" s="22"/>
      <x:c r="L23" s="22" t="str">
        <x:v>Not Executed</x:v>
      </x:c>
      <x:c r="M23" s="22"/>
      <x:c r="N23" s="22"/>
      <x:c r="O23" s="21" t="str">
        <x:v>BR-CRM-002; supplement §9.5.3 (Draft)</x:v>
      </x:c>
      <x:c r="P23" s="21" t="str">
        <x:v>Không</x:v>
      </x:c>
      <x:c r="Q23" s="21" t="str">
        <x:v>Gate: Security contract; Owner: BE/CRM; mở khi RW-RFI-05 được chốt và contract/fixture staging sẵn sàng từ 26/10. Chưa chạy.</x:v>
      </x:c>
      <x:c r="R23" s="21" t="str">
        <x:v>TBD – endpoint QR/Rewards chưa có trên OpenAPI staging</x:v>
      </x:c>
      <x:c r="S23" s="21" t="str">
        <x:v>Chưa có</x:v>
      </x:c>
      <x:c r="T23" s="21" t="str">
        <x:v>High Level Requirements(2), Pos System BRD(2), 18/10/2026; supplement v1.0 Draft; staging /version 972b94294fe1</x:v>
      </x:c>
      <x:c r="U23" s="21" t="str">
        <x:v>Gate: Security contract; RFI: RW-RFI-05</x:v>
      </x:c>
      <x:c r="V23" s="22"/>
      <x:c r="W23" s="22"/>
    </x:row>
  </x:sheetData>
  <x:mergeCells>
    <x:mergeCell ref="A1:W1"/>
    <x:mergeCell ref="A2:G2"/>
    <x:mergeCell ref="H2:N2"/>
    <x:mergeCell ref="O2:W2"/>
  </x:mergeCells>
  <x:conditionalFormatting sqref="L4:L23">
    <x:cfRule type="expression" dxfId="0" priority="1">
      <x:formula>$L4="Passed"</x:formula>
    </x:cfRule>
    <x:cfRule type="expression" dxfId="1" priority="2">
      <x:formula>$L4="Failed"</x:formula>
    </x:cfRule>
    <x:cfRule type="expression" dxfId="2" priority="3">
      <x:formula>$L4="Blocked"</x:formula>
    </x:cfRule>
    <x:cfRule type="expression" dxfId="3" priority="4">
      <x:formula>$L4="Pending"</x:formula>
    </x:cfRule>
    <x:cfRule type="expression" dxfId="4" priority="5">
      <x:formula>$L4="In Progress"</x:formula>
    </x:cfRule>
    <x:cfRule type="expression" dxfId="5" priority="6">
      <x:formula>$L4="Not Executed"</x:formula>
    </x:cfRule>
    <x:cfRule type="expression" dxfId="6" priority="7">
      <x:formula>$L4="Retest"</x:formula>
    </x:cfRule>
    <x:cfRule type="expression" dxfId="7" priority="8">
      <x:formula>$L4="Skipped"</x:formula>
    </x:cfRule>
  </x:conditionalFormatting>
  <x:dataValidations count="4">
    <x:dataValidation type="list" sqref="L4:L23">
      <x:formula1>"Not Executed,In Progress,Pending,Passed,Failed,Blocked,Skipped,Retest"</x:formula1>
    </x:dataValidation>
    <x:dataValidation type="list" sqref="D4:D23">
      <x:formula1>"Critical,High,Medium,Low"</x:formula1>
    </x:dataValidation>
    <x:dataValidation type="list" sqref="E4:E23">
      <x:formula1>"Critical,High,Medium,Low"</x:formula1>
    </x:dataValidation>
    <x:dataValidation type="list" sqref="P4:P23">
      <x:formula1>"Có,Không"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47f15dfd2540b3"/>
  </x:tableParts>
</x:worksheet>
</file>

<file path=xl/worksheets/sheet2.xml><?xml version="1.0" encoding="utf-8"?>
<x:worksheet xmlns:x="http://schemas.openxmlformats.org/spreadsheetml/2006/main">
  <x:sheetPr>
    <x:tabColor rgb="FF4C7EA1"/>
  </x:sheetPr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5" hidden="0" customWidth="1"/>
    <x:col min="4" max="4" width="48" hidden="0" customWidth="1"/>
    <x:col min="5" max="5" width="74" hidden="0" customWidth="1"/>
  </x:cols>
  <x:sheetData>
    <x:row r="1" ht="35" customHeight="1">
      <x:c r="A1" s="5" t="str">
        <x:v>AFG POS | REWARDS STATUS</x:v>
      </x:c>
      <x:c r="B1" s="5"/>
      <x:c r="C1" s="5"/>
      <x:c r="D1" s="5"/>
      <x:c r="E1" s="5"/>
    </x:row>
    <x:row r="2" ht="32" customHeight="1">
      <x:c r="A2" s="8" t="str">
        <x:v>Chỉ đếm kết quả thực thi trong Test Cases; preflight không phải business PASS.</x:v>
      </x:c>
      <x:c r="B2" s="8"/>
      <x:c r="C2" s="8"/>
      <x:c r="D2" s="8"/>
      <x:c r="E2" s="8"/>
    </x:row>
    <x:row r="3" ht="33" customHeight="1">
      <x:c r="A3" s="17" t="str">
        <x:v>Trạng thái test case</x:v>
      </x:c>
      <x:c r="B3" s="19" t="str">
        <x:v>Số lượng</x:v>
      </x:c>
      <x:c r="C3" s="2"/>
      <x:c r="D3" s="17" t="str">
        <x:v>Điều kiện</x:v>
      </x:c>
      <x:c r="E3" s="19" t="str">
        <x:v>Trạng thái / hành động</x:v>
      </x:c>
    </x:row>
    <x:row r="4" ht="55" customHeight="1">
      <x:c r="A4" s="2" t="str">
        <x:v>Tổng test case</x:v>
      </x:c>
      <x:c r="B4" s="24" t="n">
        <x:f>COUNTA('Test Cases'!$A$4:$A$23)</x:f>
        <x:v>20</x:v>
      </x:c>
      <x:c r="C4" s="2"/>
      <x:c r="D4" s="20" t="str">
        <x:v>Staging contract</x:v>
      </x:c>
      <x:c r="E4" s="20" t="str">
        <x:v>19/10: read-only 31 paths/35 operations trên staging 972b94294fe1; danh mục QR/Rewards cần BE xác nhận khi deploy.</x:v>
      </x:c>
    </x:row>
    <x:row r="5" ht="55" customHeight="1">
      <x:c r="A5" s="2" t="str">
        <x:v>Passed</x:v>
      </x:c>
      <x:c r="B5" s="24" t="n">
        <x:f>COUNTIFS('Test Cases'!$L$4:$L$23,"Passed")</x:f>
        <x:v>0</x:v>
      </x:c>
      <x:c r="C5" s="2"/>
      <x:c r="D5" s="20" t="str">
        <x:v>BRD/functional supplement</x:v>
      </x:c>
      <x:c r="E5" s="20" t="str">
        <x:v>Sprint 3–4 từ 26/10; PO/BE/CRM/FE chốt các RFI và expected trước khi chạy nghiệp vụ.</x:v>
      </x:c>
    </x:row>
    <x:row r="6" ht="55" customHeight="1">
      <x:c r="A6" s="2" t="str">
        <x:v>Failed</x:v>
      </x:c>
      <x:c r="B6" s="24" t="n">
        <x:f>COUNTIFS('Test Cases'!$L$4:$L$23,"Failed")</x:f>
        <x:v>0</x:v>
      </x:c>
      <x:c r="C6" s="2"/>
      <x:c r="D6" s="20" t="str">
        <x:v>Fixture</x:v>
      </x:c>
      <x:c r="E6" s="20" t="str">
        <x:v>Owner BE/FE cấp API, FE build, token/bàn QA, CRM/payment sandbox và cleanup; xem RFI &amp; Gaps.</x:v>
      </x:c>
    </x:row>
    <x:row r="7" ht="55" customHeight="1">
      <x:c r="A7" s="2" t="str">
        <x:v>Blocked</x:v>
      </x:c>
      <x:c r="B7" s="24" t="n">
        <x:f>COUNTIFS('Test Cases'!$L$4:$L$23,"Blocked")</x:f>
        <x:v>0</x:v>
      </x:c>
      <x:c r="C7" s="2"/>
      <x:c r="D7" s="20" t="str">
        <x:v>Status</x:v>
      </x:c>
      <x:c r="E7" s="20" t="str">
        <x:v>Ngày 19/10 chỉ chuẩn bị contract và fixture; không có QR/Rewards business PASS.</x:v>
      </x:c>
    </x:row>
    <x:row r="8" ht="55" customHeight="1">
      <x:c r="A8" s="2" t="str">
        <x:v>Pending</x:v>
      </x:c>
      <x:c r="B8" s="24" t="n">
        <x:f>COUNTIFS('Test Cases'!$L$4:$L$23,"Pending")</x:f>
        <x:v>0</x:v>
      </x:c>
      <x:c r="C8" s="2"/>
      <x:c r="D8" s="20" t="str">
        <x:v>Execution</x:v>
      </x:c>
      <x:c r="E8" s="20" t="str">
        <x:v>24 QR + 20 Rewards đều Not Executed; không cộng preflight. Chỉ đổi status sau run có Actual/Evidence/Run ID.</x:v>
      </x:c>
    </x:row>
    <x:row r="9" ht="44" customHeight="1">
      <x:c r="A9" s="2" t="str">
        <x:v>In Progress</x:v>
      </x:c>
      <x:c r="B9" s="24" t="n">
        <x:f>COUNTIFS('Test Cases'!$L$4:$L$23,"In Progress")</x:f>
        <x:v>0</x:v>
      </x:c>
      <x:c r="C9" s="2"/>
      <x:c r="D9" s="20" t="str">
        <x:v>Priority / Severity</x:v>
      </x:c>
      <x:c r="E9" s="20" t="str">
        <x:v>P0→Critical, P1→High; Severity là đề xuất QA, triage defect theo evidence.</x:v>
      </x:c>
    </x:row>
    <x:row r="10" ht="55" customHeight="1">
      <x:c r="A10" s="2" t="str">
        <x:v>Not Executed</x:v>
      </x:c>
      <x:c r="B10" s="24" t="n">
        <x:f>COUNTIFS('Test Cases'!$L$4:$L$23,"Not Executed")</x:f>
        <x:v>20</x:v>
      </x:c>
      <x:c r="C10" s="2"/>
      <x:c r="D10" s="2" t="str">
        <x:v>Kết quả 19/10</x:v>
      </x:c>
      <x:c r="E10" s="2" t="str">
        <x:v>0 Passed, 0 Failed, 0 Blocked; 20 Not Executed. Evidence chỉ là morning audit, không phải QR/Rewards run.</x:v>
      </x:c>
    </x:row>
    <x:row r="11" ht="25" customHeight="1">
      <x:c r="A11" s="2" t="str">
        <x:v>Retest</x:v>
      </x:c>
      <x:c r="B11" s="24" t="n">
        <x:f>COUNTIFS('Test Cases'!$L$4:$L$23,"Retest")</x:f>
        <x:v>0</x:v>
      </x:c>
      <x:c r="C11" s="2"/>
      <x:c r="D11" s="2"/>
      <x:c r="E11" s="2"/>
    </x:row>
    <x:row r="12" ht="25" customHeight="1">
      <x:c r="A12" s="2" t="str">
        <x:v>Skipped</x:v>
      </x:c>
      <x:c r="B12" s="24" t="n">
        <x:f>COUNTIFS('Test Cases'!$L$4:$L$23,"Skipped")</x:f>
        <x:v>0</x:v>
      </x:c>
      <x:c r="C12" s="2"/>
      <x:c r="D12" s="2"/>
      <x:c r="E12" s="2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35" hidden="0" customWidth="1"/>
    <x:col min="4" max="4" width="28" hidden="0" customWidth="1"/>
    <x:col min="5" max="5" width="20" hidden="0" customWidth="1"/>
    <x:col min="6" max="6" width="27" hidden="0" customWidth="1"/>
    <x:col min="7" max="7" width="59" hidden="0" customWidth="1"/>
    <x:col min="8" max="8" width="18" hidden="0" customWidth="1"/>
    <x:col min="9" max="9" width="18" hidden="0" customWidth="1"/>
    <x:col min="10" max="10" width="18" hidden="0" customWidth="1"/>
    <x:col min="11" max="11" width="70" hidden="0" customWidth="1"/>
    <x:col min="12" max="12" width="27" hidden="0" customWidth="1"/>
    <x:col min="13" max="13" width="65" hidden="0" customWidth="1"/>
  </x:cols>
  <x:sheetData>
    <x:row r="1" ht="35" customHeight="1">
      <x:c r="A1" s="5" t="str">
        <x:v>AFG POS | REWARDS EXECUTION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2" customHeight="1">
      <x:c r="A2" s="8" t="str">
        <x:v>Chỉ ghi quan sát thực tế; một run có thể tham chiếu nhiều case. Không ghi JWT, password hoặc số điện thoại thật.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39" customHeight="1">
      <x:c r="A3" s="17" t="str">
        <x:v>Run ID</x:v>
      </x:c>
      <x:c r="B3" s="18" t="str">
        <x:v>Run Date</x:v>
      </x:c>
      <x:c r="C3" s="18" t="str">
        <x:v>Environment</x:v>
      </x:c>
      <x:c r="D3" s="18" t="str">
        <x:v>Build / SHA</x:v>
      </x:c>
      <x:c r="E3" s="18" t="str">
        <x:v>Tool</x:v>
      </x:c>
      <x:c r="F3" s="18" t="str">
        <x:v>Test Ref</x:v>
      </x:c>
      <x:c r="G3" s="18" t="str">
        <x:v>Action</x:v>
      </x:c>
      <x:c r="H3" s="18" t="str">
        <x:v>Expected HTTP</x:v>
      </x:c>
      <x:c r="I3" s="18" t="str">
        <x:v>Actual HTTP</x:v>
      </x:c>
      <x:c r="J3" s="18" t="str">
        <x:v>Result</x:v>
      </x:c>
      <x:c r="K3" s="18" t="str">
        <x:v>Evidence</x:v>
      </x:c>
      <x:c r="L3" s="18" t="str">
        <x:v>Tester</x:v>
      </x:c>
      <x:c r="M3" s="19" t="str">
        <x:v>Note</x:v>
      </x:c>
    </x:row>
    <x:row r="4" ht="28" customHeight="1">
      <x:c r="A4" s="25" t="str">
        <x:v>PF-CONTRACT-20261019</x:v>
      </x:c>
      <x:c r="B4" s="25" t="str">
        <x:v>2026-10-19</x:v>
      </x:c>
      <x:c r="C4" s="25" t="str">
        <x:v>Staging</x:v>
      </x:c>
      <x:c r="D4" s="25" t="str">
        <x:v>972b94294fe1</x:v>
      </x:c>
      <x:c r="E4" s="25" t="str">
        <x:v>PowerShell read-only</x:v>
      </x:c>
      <x:c r="F4" s="25" t="str">
        <x:v>QR/RW contract readiness</x:v>
      </x:c>
      <x:c r="G4" s="25" t="str">
        <x:v>/version, OpenAPI 31 paths/35 operations; B4/QA cleanup check</x:v>
      </x:c>
      <x:c r="H4" s="25" t="str">
        <x:v>N/A</x:v>
      </x:c>
      <x:c r="I4" s="25" t="str">
        <x:v>HTTP status not retained in summary</x:v>
      </x:c>
      <x:c r="J4" s="25" t="str">
        <x:v>Preflight only</x:v>
      </x:c>
      <x:c r="K4" s="26" t="str">
        <x:v>D:\POS_SYSTEM_QA\evidence\AFG_POS\MORNING_READONLY_2026-10-19_083302.log</x:v>
      </x:c>
      <x:c r="L4" s="25" t="str">
        <x:v>QA</x:v>
      </x:c>
      <x:c r="M4" s="25"/>
    </x:row>
    <x:row r="5" ht="28" customHeight="1">
      <x:c r="A5" s="25"/>
      <x:c r="B5" s="25"/>
      <x:c r="C5" s="25"/>
      <x:c r="D5" s="25"/>
      <x:c r="E5" s="25"/>
      <x:c r="F5" s="25"/>
      <x:c r="G5" s="25"/>
      <x:c r="H5" s="25"/>
      <x:c r="I5" s="25"/>
      <x:c r="J5" s="25"/>
      <x:c r="K5" s="26"/>
      <x:c r="L5" s="25"/>
      <x:c r="M5" s="25"/>
    </x:row>
    <x:row r="6" ht="28" customHeight="1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6"/>
      <x:c r="L6" s="25"/>
      <x:c r="M6" s="25"/>
    </x:row>
    <x:row r="7" ht="28" customHeight="1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6"/>
      <x:c r="L7" s="25"/>
      <x:c r="M7" s="25"/>
    </x:row>
    <x:row r="8" ht="28" customHeight="1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6"/>
      <x:c r="L8" s="25"/>
      <x:c r="M8" s="25"/>
    </x:row>
    <x:row r="9" ht="28" customHeight="1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6"/>
      <x:c r="L9" s="25"/>
      <x:c r="M9" s="25"/>
    </x:row>
    <x:row r="10" ht="28" customHeight="1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6"/>
      <x:c r="L10" s="25"/>
      <x:c r="M10" s="25"/>
    </x:row>
    <x:row r="11" ht="28" customHeight="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6"/>
      <x:c r="L11" s="25"/>
      <x:c r="M11" s="25"/>
    </x:row>
    <x:row r="12" ht="28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6"/>
      <x:c r="L12" s="25"/>
      <x:c r="M12" s="25"/>
    </x:row>
    <x:row r="13" ht="28" customHeight="1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6"/>
      <x:c r="L13" s="25"/>
      <x:c r="M13" s="25"/>
    </x:row>
    <x:row r="14" ht="28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6"/>
      <x:c r="L14" s="25"/>
      <x:c r="M14" s="25"/>
    </x:row>
    <x:row r="15" ht="28" customHeight="1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6"/>
      <x:c r="L15" s="25"/>
      <x:c r="M15" s="25"/>
    </x:row>
    <x:row r="16" ht="28" customHeight="1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6"/>
      <x:c r="L16" s="25"/>
      <x:c r="M16" s="25"/>
    </x:row>
    <x:row r="17" ht="28" customHeight="1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6"/>
      <x:c r="L17" s="25"/>
      <x:c r="M17" s="25"/>
    </x:row>
    <x:row r="18" ht="28" customHeight="1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6"/>
      <x:c r="L18" s="25"/>
      <x:c r="M18" s="25"/>
    </x:row>
    <x:row r="19" ht="28" customHeight="1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6"/>
      <x:c r="L19" s="25"/>
      <x:c r="M19" s="25"/>
    </x:row>
    <x:row r="20" ht="28" customHeight="1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6"/>
      <x:c r="L20" s="25"/>
      <x:c r="M20" s="25"/>
    </x:row>
    <x:row r="21" ht="28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6"/>
      <x:c r="L21" s="25"/>
      <x:c r="M21" s="25"/>
    </x:row>
    <x:row r="22" ht="28" customHeight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6"/>
      <x:c r="L22" s="25"/>
      <x:c r="M22" s="25"/>
    </x:row>
    <x:row r="23" ht="28" customHeight="1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6"/>
      <x:c r="L23" s="25"/>
      <x:c r="M23" s="25"/>
    </x:row>
    <x:row r="24" ht="28" customHeight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6"/>
      <x:c r="L24" s="25"/>
      <x:c r="M24" s="25"/>
    </x:row>
    <x:row r="25" ht="28" customHeight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6"/>
      <x:c r="L25" s="25"/>
      <x:c r="M25" s="25"/>
    </x:row>
    <x:row r="26" ht="28" customHeight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6"/>
      <x:c r="L26" s="25"/>
      <x:c r="M26" s="25"/>
    </x:row>
    <x:row r="27" ht="28" customHeight="1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6"/>
      <x:c r="L27" s="25"/>
      <x:c r="M27" s="25"/>
    </x:row>
    <x:row r="28" ht="28" customHeight="1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6"/>
      <x:c r="L28" s="25"/>
      <x:c r="M28" s="25"/>
    </x:row>
    <x:row r="29" ht="28" customHeight="1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6"/>
      <x:c r="L29" s="25"/>
      <x:c r="M29" s="25"/>
    </x:row>
    <x:row r="30" ht="28" customHeight="1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6"/>
      <x:c r="L30" s="25"/>
      <x:c r="M30" s="25"/>
    </x:row>
    <x:row r="31" ht="28" customHeight="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6"/>
      <x:c r="L31" s="25"/>
      <x:c r="M31" s="25"/>
    </x:row>
    <x:row r="32" ht="28" customHeight="1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6"/>
      <x:c r="L32" s="25"/>
      <x:c r="M32" s="25"/>
    </x:row>
    <x:row r="33" ht="28" customHeight="1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6"/>
      <x:c r="L33" s="25"/>
      <x:c r="M33" s="25"/>
    </x:row>
    <x:row r="34" ht="28" customHeight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6"/>
      <x:c r="L34" s="25"/>
      <x:c r="M34" s="25"/>
    </x:row>
    <x:row r="35" ht="28" customHeight="1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6"/>
      <x:c r="L35" s="25"/>
      <x:c r="M35" s="25"/>
    </x:row>
    <x:row r="36" ht="28" customHeight="1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6"/>
      <x:c r="L36" s="25"/>
      <x:c r="M36" s="25"/>
    </x:row>
    <x:row r="37" ht="28" customHeight="1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6"/>
      <x:c r="L37" s="25"/>
      <x:c r="M37" s="25"/>
    </x:row>
    <x:row r="38" ht="28" customHeight="1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6"/>
      <x:c r="L38" s="25"/>
      <x:c r="M38" s="25"/>
    </x:row>
    <x:row r="39" ht="28" customHeight="1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6"/>
      <x:c r="L39" s="25"/>
      <x:c r="M39" s="25"/>
    </x:row>
    <x:row r="40" ht="28" customHeight="1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6"/>
      <x:c r="L40" s="25"/>
      <x:c r="M40" s="25"/>
    </x:row>
    <x:row r="41" ht="28" customHeight="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6"/>
      <x:c r="L41" s="25"/>
      <x:c r="M41" s="25"/>
    </x:row>
    <x:row r="42" ht="28" customHeight="1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6"/>
      <x:c r="L42" s="25"/>
      <x:c r="M42" s="25"/>
    </x:row>
    <x:row r="43" ht="28" customHeight="1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6"/>
      <x:c r="L43" s="25"/>
      <x:c r="M43" s="25"/>
    </x:row>
    <x:row r="44" ht="28" customHeight="1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6"/>
      <x:c r="L44" s="25"/>
      <x:c r="M44" s="25"/>
    </x:row>
    <x:row r="45" ht="28" customHeight="1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6"/>
      <x:c r="L45" s="25"/>
      <x:c r="M45" s="25"/>
    </x:row>
    <x:row r="46" ht="28" customHeight="1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6"/>
      <x:c r="L46" s="25"/>
      <x:c r="M46" s="25"/>
    </x:row>
    <x:row r="47" ht="28" customHeight="1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6"/>
      <x:c r="L47" s="25"/>
      <x:c r="M47" s="25"/>
    </x:row>
    <x:row r="48" ht="28" customHeight="1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6"/>
      <x:c r="L48" s="25"/>
      <x:c r="M48" s="25"/>
    </x:row>
    <x:row r="49" ht="28" customHeight="1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6"/>
      <x:c r="L49" s="25"/>
      <x:c r="M49" s="25"/>
    </x:row>
    <x:row r="50" ht="28" customHeight="1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6"/>
      <x:c r="L50" s="25"/>
      <x:c r="M50" s="25"/>
    </x:row>
    <x:row r="51" ht="28" customHeight="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6"/>
      <x:c r="L51" s="25"/>
      <x:c r="M51" s="25"/>
    </x:row>
    <x:row r="52" ht="28" customHeight="1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6"/>
      <x:c r="L52" s="25"/>
      <x:c r="M52" s="25"/>
    </x:row>
    <x:row r="53" ht="28" customHeight="1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6"/>
      <x:c r="L53" s="25"/>
      <x:c r="M53" s="25"/>
    </x:row>
  </x:sheetData>
  <x:mergeCells>
    <x:mergeCell ref="A1:M1"/>
    <x:mergeCell ref="A2:M2"/>
  </x:mergeCells>
  <x:dataValidations count="1">
    <x:dataValidation type="list" sqref="J4:J203">
      <x:formula1>"Not Executed,In Progress,Pending,Passed,Failed,Blocked,Skipped,Retest"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58" hidden="0" customWidth="1"/>
    <x:col min="4" max="4" width="49" hidden="0" customWidth="1"/>
    <x:col min="5" max="5" width="57" hidden="0" customWidth="1"/>
    <x:col min="6" max="6" width="50" hidden="0" customWidth="1"/>
    <x:col min="7" max="7" width="48" hidden="0" customWidth="1"/>
    <x:col min="8" max="8" width="25" hidden="0" customWidth="1"/>
    <x:col min="9" max="9" width="19" hidden="0" customWidth="1"/>
    <x:col min="10" max="10" width="51" hidden="0" customWidth="1"/>
    <x:col min="11" max="11" width="54" hidden="0" customWidth="1"/>
  </x:cols>
  <x:sheetData>
    <x:row r="1" ht="35" customHeight="1">
      <x:c r="A1" s="5" t="str">
        <x:v>AFG POS | REWARDS RFI &amp; GAPS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2" customHeight="1">
      <x:c r="A2" s="8" t="str">
        <x:v>Open là câu hỏi đang chờ quyết định; ghi nguồn phê duyệt trước khi thay đổi expected result.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41" customHeight="1">
      <x:c r="A3" s="17" t="str">
        <x:v>ID</x:v>
      </x:c>
      <x:c r="B3" s="18" t="str">
        <x:v>Loại</x:v>
      </x:c>
      <x:c r="C3" s="18" t="str">
        <x:v>Vấn đề</x:v>
      </x:c>
      <x:c r="D3" s="18" t="str">
        <x:v>Nguồn A</x:v>
      </x:c>
      <x:c r="E3" s="18" t="str">
        <x:v>Nguồn B / Quan sát</x:v>
      </x:c>
      <x:c r="F3" s="18" t="str">
        <x:v>Tác động QA</x:v>
      </x:c>
      <x:c r="G3" s="18" t="str">
        <x:v>Quyết định tạm thời</x:v>
      </x:c>
      <x:c r="H3" s="18" t="str">
        <x:v>Owner</x:v>
      </x:c>
      <x:c r="I3" s="18" t="str">
        <x:v>Status</x:v>
      </x:c>
      <x:c r="J3" s="18" t="str">
        <x:v>TC liên quan</x:v>
      </x:c>
      <x:c r="K3" s="19" t="str">
        <x:v>Nguồn / Trace</x:v>
      </x:c>
    </x:row>
    <x:row r="4" ht="88" customHeight="1">
      <x:c r="A4" s="21" t="str">
        <x:v>RW-RFI-01</x:v>
      </x:c>
      <x:c r="B4" s="21" t="str">
        <x:v>Contract / policy</x:v>
      </x:c>
      <x:c r="C4" s="21" t="str">
        <x:v>Công thức earn/redeem/expiry, định danh member và consent?</x:v>
      </x:c>
      <x:c r="D4" s="21" t="str">
        <x:v>HLR CRM + functional supplement v1.0 Draft</x:v>
      </x:c>
      <x:c r="E4" s="21" t="str">
        <x:v>OpenAPI staging chưa có endpoint QR/Rewards; chưa có quyết định PO/BE.</x:v>
      </x:c>
      <x:c r="F4" s="21" t="str">
        <x:v>Chưa khóa được expected và fixture tương ứng.</x:v>
      </x:c>
      <x:c r="G4" s="21" t="str">
        <x:v>Mở khi: PO/CRM duyệt earn/redeem/expiry, member ID và consent; có member/số dư sandbox cô lập. Giữ testcase Not Executed cho tới khi chạy có evidence.</x:v>
      </x:c>
      <x:c r="H4" s="21" t="str">
        <x:v>PO/CRM</x:v>
      </x:c>
      <x:c r="I4" s="22" t="str">
        <x:v>Open</x:v>
      </x:c>
      <x:c r="J4" s="21" t="str">
        <x:v>RW-001/002/003/004/005/006/017/018</x:v>
      </x:c>
      <x:c r="K4" s="21" t="str">
        <x:v>Test Cases!U4:U23</x:v>
      </x:c>
    </x:row>
    <x:row r="5" ht="88" customHeight="1">
      <x:c r="A5" s="21" t="str">
        <x:v>RW-RFI-02</x:v>
      </x:c>
      <x:c r="B5" s="21" t="str">
        <x:v>Contract / policy</x:v>
      </x:c>
      <x:c r="C5" s="21" t="str">
        <x:v>Cap/ngoại lệ từng chương trình theo quy định áp dụng; rule version và kiểm chứng?</x:v>
      </x:c>
      <x:c r="D5" s="21" t="str">
        <x:v>HLR CRM + functional supplement v1.0 Draft</x:v>
      </x:c>
      <x:c r="E5" s="21" t="str">
        <x:v>OpenAPI staging chưa có endpoint QR/Rewards; chưa có quyết định PO/BE.</x:v>
      </x:c>
      <x:c r="F5" s="21" t="str">
        <x:v>Chưa khóa được expected và fixture tương ứng.</x:v>
      </x:c>
      <x:c r="G5" s="21" t="str">
        <x:v>Mở khi: PO/Pháp chế duyệt cap, ngoại lệ, rule version và biên kiểm thử theo chương trình. Giữ testcase Not Executed cho tới khi chạy có evidence.</x:v>
      </x:c>
      <x:c r="H5" s="21" t="str">
        <x:v>PO/Pháp chế</x:v>
      </x:c>
      <x:c r="I5" s="22" t="str">
        <x:v>Open</x:v>
      </x:c>
      <x:c r="J5" s="21" t="str">
        <x:v>RW-008</x:v>
      </x:c>
      <x:c r="K5" s="21" t="str">
        <x:v>Test Cases!U4:U23</x:v>
      </x:c>
    </x:row>
    <x:row r="6" ht="88" customHeight="1">
      <x:c r="A6" s="21" t="str">
        <x:v>RW-RFI-03</x:v>
      </x:c>
      <x:c r="B6" s="21" t="str">
        <x:v>Contract / policy</x:v>
      </x:c>
      <x:c r="C6" s="21" t="str">
        <x:v>Stacking_group/priority, quyền override, refund/reversal policy?</x:v>
      </x:c>
      <x:c r="D6" s="21" t="str">
        <x:v>HLR CRM + functional supplement v1.0 Draft</x:v>
      </x:c>
      <x:c r="E6" s="21" t="str">
        <x:v>OpenAPI staging chưa có endpoint QR/Rewards; chưa có quyết định PO/BE.</x:v>
      </x:c>
      <x:c r="F6" s="21" t="str">
        <x:v>Chưa khóa được expected và fixture tương ứng.</x:v>
      </x:c>
      <x:c r="G6" s="21" t="str">
        <x:v>Mở khi: PO/BE duyệt stacking, override, refund/reversal; BE công bố state/ledger contract và sandbox thanh toán. Giữ testcase Not Executed cho tới khi chạy có evidence.</x:v>
      </x:c>
      <x:c r="H6" s="21" t="str">
        <x:v>PO/BE</x:v>
      </x:c>
      <x:c r="I6" s="22" t="str">
        <x:v>Open</x:v>
      </x:c>
      <x:c r="J6" s="21" t="str">
        <x:v>RW-007/009/014/016/018</x:v>
      </x:c>
      <x:c r="K6" s="21" t="str">
        <x:v>Test Cases!U4:U23</x:v>
      </x:c>
    </x:row>
    <x:row r="7" ht="88" customHeight="1">
      <x:c r="A7" s="21" t="str">
        <x:v>RW-RFI-04</x:v>
      </x:c>
      <x:c r="B7" s="21" t="str">
        <x:v>Contract / policy</x:v>
      </x:c>
      <x:c r="C7" s="21" t="str">
        <x:v>Mốc ≤30 giây; số liệu 3/10/30 giây ở nguồn áp cho bước nào? Timeout/fallback CRM?</x:v>
      </x:c>
      <x:c r="D7" s="21" t="str">
        <x:v>HLR CRM + functional supplement v1.0 Draft</x:v>
      </x:c>
      <x:c r="E7" s="21" t="str">
        <x:v>OpenAPI staging chưa có endpoint QR/Rewards; chưa có quyết định PO/BE.</x:v>
      </x:c>
      <x:c r="F7" s="21" t="str">
        <x:v>Chưa khóa được expected và fixture tương ứng.</x:v>
      </x:c>
      <x:c r="G7" s="21" t="str">
        <x:v>Mở khi: PO/BE chốt mốc 3/10/30 giây, điểm đo, CRM timeout/fallback; có trace và fault fixture. Giữ testcase Not Executed cho tới khi chạy có evidence.</x:v>
      </x:c>
      <x:c r="H7" s="21" t="str">
        <x:v>PO/BE</x:v>
      </x:c>
      <x:c r="I7" s="22" t="str">
        <x:v>Open</x:v>
      </x:c>
      <x:c r="J7" s="21" t="str">
        <x:v>RW-012/013</x:v>
      </x:c>
      <x:c r="K7" s="21" t="str">
        <x:v>Test Cases!U4:U23</x:v>
      </x:c>
    </x:row>
    <x:row r="8" ht="88" customHeight="1">
      <x:c r="A8" s="21" t="str">
        <x:v>RW-RFI-05</x:v>
      </x:c>
      <x:c r="B8" s="21" t="str">
        <x:v>Contract / policy</x:v>
      </x:c>
      <x:c r="C8" s="21" t="str">
        <x:v>Contract API, ledger/audit, idempotency key, status error; CRM/payment sandbox fixture?</x:v>
      </x:c>
      <x:c r="D8" s="21" t="str">
        <x:v>HLR CRM + functional supplement v1.0 Draft</x:v>
      </x:c>
      <x:c r="E8" s="21" t="str">
        <x:v>OpenAPI staging chưa có endpoint QR/Rewards; chưa có quyết định PO/BE.</x:v>
      </x:c>
      <x:c r="F8" s="21" t="str">
        <x:v>Chưa khóa được expected và fixture tương ứng.</x:v>
      </x:c>
      <x:c r="G8" s="21" t="str">
        <x:v>Mở khi: BE/CRM công bố API, ledger/audit, idempotency, lỗi; cấp CRM/payment sandbox và dữ liệu QA. Giữ testcase Not Executed cho tới khi chạy có evidence.</x:v>
      </x:c>
      <x:c r="H8" s="21" t="str">
        <x:v>BE/CRM</x:v>
      </x:c>
      <x:c r="I8" s="22" t="str">
        <x:v>Open</x:v>
      </x:c>
      <x:c r="J8" s="21" t="str">
        <x:v>RW-001/002/004/005/010/011/012/015/019/020</x:v>
      </x:c>
      <x:c r="K8" s="21" t="str">
        <x:v>Test Cases!U4:U23</x:v>
      </x:c>
    </x:row>
    <x:row r="9" ht="88" customHeight="1">
      <x:c r="A9" t="str">
        <x:v>RFI-SIT-01</x:v>
      </x:c>
      <x:c r="B9" t="str">
        <x:v>Contract / fixture</x:v>
      </x:c>
      <x:c r="C9" t="str">
        <x:v>Ngày deploy QR/Rewards, OpenAPI, FE Customer/Kitchen UI, CRM/payment sandbox, outlet B và cleanup owner?</x:v>
      </x:c>
      <x:c r="D9" t="str">
        <x:v>SIT design 19/10/2026</x:v>
      </x:c>
      <x:c r="E9" t="str">
        <x:v>Morning read-only 19/10: 31 paths/35 operations; chưa có bằng chứng nghiệp vụ QR/Rewards.</x:v>
      </x:c>
      <x:c r="F9" t="str">
        <x:v>Chưa mở gate thực thi QR/Rewards.</x:v>
      </x:c>
      <x:c r="G9" t="str">
        <x:v>Mở khi: BE/FE công bố /version và OpenAPI QR/Rewards trên staging, FE Customer/Kitchen build; QA xác nhận token, outlet, CRM/payment sandbox và cleanup owner. Không suy business PASS từ preflight.</x:v>
      </x:c>
      <x:c r="H9" t="str">
        <x:v>BE/FE</x:v>
      </x:c>
      <x:c r="I9" t="str">
        <x:v>Open</x:v>
      </x:c>
      <x:c r="J9" t="str">
        <x:v>RW-001…020</x:v>
      </x:c>
      <x:c r="K9" t="str">
        <x:v>AFG_POS_API_Regression_Matrix_2026-10-19.xlsx; MORNING_READONLY_2026-10-19_083302.log</x:v>
      </x:c>
    </x:row>
  </x:sheetData>
  <x:mergeCells>
    <x:mergeCell ref="A1:K1"/>
    <x:mergeCell ref="A2:K2"/>
  </x:mergeCells>
  <x:dataValidations count="2">
    <x:dataValidation type="list" sqref="I4:I8">
      <x:formula1>"Open,Answered,Closed,Deferred"</x:formula1>
    </x:dataValidation>
    <x:dataValidation type="list" sqref="I9">
      <x:formula1>"Open,Answered,Closed,Deferred"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58" hidden="0" customWidth="1"/>
    <x:col min="3" max="3" width="40" hidden="0" customWidth="1"/>
    <x:col min="4" max="4" width="27" hidden="0" customWidth="1"/>
    <x:col min="5" max="5" width="78" hidden="0" customWidth="1"/>
    <x:col min="6" max="6" width="21" hidden="0" customWidth="1"/>
    <x:col min="7" max="7" width="75" hidden="0" customWidth="1"/>
  </x:cols>
  <x:sheetData>
    <x:row r="1" ht="35" customHeight="1">
      <x:c r="A1" s="5" t="str">
        <x:v>TÀI LIỆU VÀ BASELINE DÙNG ĐỂ THIẾT KẾ</x:v>
      </x:c>
      <x:c r="B1" s="5"/>
      <x:c r="C1" s="5"/>
      <x:c r="D1" s="5"/>
      <x:c r="E1" s="5"/>
      <x:c r="F1" s="5"/>
      <x:c r="G1" s="5"/>
    </x:row>
    <x:row r="2" ht="35" customHeight="1">
      <x:c r="A2" s="17" t="str">
        <x:v>Mã nguồn</x:v>
      </x:c>
      <x:c r="B2" s="18" t="str">
        <x:v>Tên nguồn</x:v>
      </x:c>
      <x:c r="C2" s="18" t="str">
        <x:v>Phiên bản / SHA / Ngày</x:v>
      </x:c>
      <x:c r="D2" s="18" t="str">
        <x:v>Nhóm</x:v>
      </x:c>
      <x:c r="E2" s="18" t="str">
        <x:v>File / liên kết</x:v>
      </x:c>
      <x:c r="F2" s="18" t="str">
        <x:v>Mức độ nguồn</x:v>
      </x:c>
      <x:c r="G2" s="19" t="str">
        <x:v>Lưu ý</x:v>
      </x:c>
    </x:row>
    <x:row r="3" ht="34" customHeight="1">
      <x:c r="A3" s="21" t="str">
        <x:v>SRC-QR-01</x:v>
      </x:c>
      <x:c r="B3" s="21" t="str">
        <x:v>Pos System BRD(2)</x:v>
      </x:c>
      <x:c r="C3" s="21" t="str">
        <x:v>BRD v1.1 TBD; 18/10/2026</x:v>
      </x:c>
      <x:c r="D3" s="21" t="str">
        <x:v>Requirement</x:v>
      </x:c>
      <x:c r="E3" s="21" t="str">
        <x:v>Pos System BRD(2).docx</x:v>
      </x:c>
      <x:c r="F3" s="21" t="str">
        <x:v>Design source</x:v>
      </x:c>
      <x:c r="G3" s="21" t="str">
        <x:v>BR-QR-001…010, BR-OM-MRG-001…010; chờ phê duyệt.</x:v>
      </x:c>
    </x:row>
    <x:row r="4" ht="34" customHeight="1">
      <x:c r="A4" s="21" t="str">
        <x:v>SRC-HLR-01</x:v>
      </x:c>
      <x:c r="B4" s="21" t="str">
        <x:v>High Level Requirements(2)</x:v>
      </x:c>
      <x:c r="C4" s="21" t="str">
        <x:v>18/10/2026</x:v>
      </x:c>
      <x:c r="D4" s="21" t="str">
        <x:v>Requirement</x:v>
      </x:c>
      <x:c r="E4" s="21" t="str">
        <x:v>High Level Requirements(2).docx</x:v>
      </x:c>
      <x:c r="F4" s="21" t="str">
        <x:v>Design source</x:v>
      </x:c>
      <x:c r="G4" s="21" t="str">
        <x:v>QR-HL-001…005; CRM-HL-001…005.</x:v>
      </x:c>
    </x:row>
    <x:row r="5" ht="34" customHeight="1">
      <x:c r="A5" s="21" t="str">
        <x:v>SRC-SPC-01</x:v>
      </x:c>
      <x:c r="B5" s="21" t="str">
        <x:v>Missing Functional Specification v1.0</x:v>
      </x:c>
      <x:c r="C5" s="21" t="str">
        <x:v>Draft for PM/PO/BA approval</x:v>
      </x:c>
      <x:c r="D5" s="21" t="str">
        <x:v>Supplement</x:v>
      </x:c>
      <x:c r="E5" s="21" t="str">
        <x:v>POS_System_BRD_Missing_Functional_Specification_v1.0.docx</x:v>
      </x:c>
      <x:c r="F5" s="21" t="str">
        <x:v>Draft</x:v>
      </x:c>
      <x:c r="G5" s="21" t="str">
        <x:v>BR-CRM-001…005 và §9.5.6; không coi policy Draft đã chốt.</x:v>
      </x:c>
    </x:row>
    <x:row r="6" ht="34" customHeight="1">
      <x:c r="A6" s="21" t="str">
        <x:v>SRC-PROC-01</x:v>
      </x:c>
      <x:c r="B6" s="21" t="str">
        <x:v>Business Process from BRD/HLR v1.0</x:v>
      </x:c>
      <x:c r="C6" s="21" t="str">
        <x:v>18/10/2026</x:v>
      </x:c>
      <x:c r="D6" s="21" t="str">
        <x:v>Process</x:v>
      </x:c>
      <x:c r="E6" s="21" t="str">
        <x:v>POS_System_Business_Process_from_BRD_HLR_v1.0.docx</x:v>
      </x:c>
      <x:c r="F6" s="21" t="str">
        <x:v>Design source</x:v>
      </x:c>
      <x:c r="G6" s="21" t="str">
        <x:v>Flow QR Ordering và Rewards.</x:v>
      </x:c>
    </x:row>
    <x:row r="7" ht="34" customHeight="1">
      <x:c r="A7" s="21" t="str">
        <x:v>SRC-STG-01</x:v>
      </x:c>
      <x:c r="B7" s="21" t="str">
        <x:v>Staging /version, /openapi.json</x:v>
      </x:c>
      <x:c r="C7" s="21" t="str">
        <x:v>972b94294fe15a28f147f721de75171ce1c3b8f9</x:v>
      </x:c>
      <x:c r="D7" s="21" t="str">
        <x:v>Runtime</x:v>
      </x:c>
      <x:c r="E7" s="21" t="str">
        <x:v>http://160.191.47.17/version | /openapi.json</x:v>
      </x:c>
      <x:c r="F7" s="21" t="str">
        <x:v>Observed 18/10</x:v>
      </x:c>
      <x:c r="G7" s="21" t="str">
        <x:v>31 paths/35 REST operations; QR/Rewards endpoint chưa xuất hiện.</x:v>
      </x:c>
    </x:row>
    <x:row r="9">
      <x:c r="A9" t="str">
        <x:v>SRC-STG-19</x:v>
      </x:c>
      <x:c r="B9" t="str">
        <x:v>Morning read-only audit</x:v>
      </x:c>
      <x:c r="C9" t="str">
        <x:v>19/10/2026; 972b94294fe1</x:v>
      </x:c>
      <x:c r="D9" t="str">
        <x:v>Runtime</x:v>
      </x:c>
      <x:c r="E9" t="str">
        <x:v>D:\POS_SYSTEM_QA\evidence\AFG_POS\MORNING_READONLY_2026-10-19_083302.log</x:v>
      </x:c>
      <x:c r="F9" t="str">
        <x:v>Preflight only</x:v>
      </x:c>
      <x:c r="G9" t="str">
        <x:v>31 paths/35 operations; B4 AVAILABLE và QA cleanup đúng. Không xác nhận QR/Rewards business PASS.</x:v>
      </x:c>
    </x:row>
  </x:sheetData>
  <x:mergeCells>
    <x:mergeCell ref="A1:G1"/>
  </x:mergeCells>
  <x:pageMargins left="0.7" right="0.7" top="0.75" bottom="0.75" header="0.3" footer="0.3"/>
</x:worksheet>
</file>