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activeTab="1"/>
  </bookViews>
  <sheets>
    <sheet name="Hướng dẫn" sheetId="1" r:id="rId1"/>
    <sheet name="Test Cases" sheetId="2" r:id="rId2"/>
    <sheet name="API Scope" sheetId="3" r:id="rId3"/>
    <sheet name="Dashboard" sheetId="4" r:id="rId4"/>
    <sheet name="Execution Log" sheetId="5" r:id="rId5"/>
    <sheet name="RFI &amp; Gaps" sheetId="6" r:id="rId6"/>
    <sheet name="Nguồn &amp; Version" sheetId="7" r:id="rId7"/>
    <sheet name="Test Data &amp; Rol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<sst xmlns="http://schemas.openxmlformats.org/spreadsheetml/2006/main" count="1756" uniqueCount="794">
  <si>
    <t>AFG POS – QA/QC PHASE 2 TESTCASE DESIGN | 25/10/2026</t>
  </si>
  <si>
    <t>Mục</t>
  </si>
  <si>
    <t>Nội dung</t>
  </si>
  <si>
    <t>Mục đích</t>
  </si>
  <si>
    <t>71 testcase thiết kế cho Pha 2 Sprint 3–4 (26/10–20/11/2026), không phải kết quả thực thi.</t>
  </si>
  <si>
    <t>Nguồn thứ tự</t>
  </si>
  <si>
    <t>BRD In Scope + các BR-QR/BR-MT/BR-SB/BR-TT; POS Rollout Board mục Đối chiếu phạm vi BRD; Git BE api-catalog mục D; OpenAPI main.</t>
  </si>
  <si>
    <t>Phân biệt contract</t>
  </si>
  <si>
    <t>OpenAPI main và catalog A7 xác nhận một số GET/Pha 1; catalog D ghi 📝 đề xuất. Không gọi 404 của route đề xuất là business Failed.</t>
  </si>
  <si>
    <t>Trạng thái ban đầu</t>
  </si>
  <si>
    <t>Tất cả Test Cases = Not Executed, Actual Result/Run Date/Evidence trống. Chỉ chuyển Passed khi chạy trên SHA và fixture cụ thể.</t>
  </si>
  <si>
    <t>Quy tắc Expected</t>
  </si>
  <si>
    <t>Các rule BRD có ID giữ nguyên. Payload/HTTP chưa định nghĩa ghi TBD/RFI; không tự bịa mã lỗi hoặc số điểm.</t>
  </si>
  <si>
    <t>Cách sử dụng</t>
  </si>
  <si>
    <t>RFI &amp; Gaps → BE/PO chốt contract và fixture → cập nhật API Scope → chạy case cô lập → Execution Log → Dashboard.</t>
  </si>
  <si>
    <t>An toàn dữ liệu</t>
  </si>
  <si>
    <t>Chỉ staging/QA fixture. Không lưu JWT, PIN, PAN/CVV, SĐT thật, payment provider secret vào workbook hoặc Git.</t>
  </si>
  <si>
    <t>Phạm vi có thể retest ngay</t>
  </si>
  <si>
    <t>GET /api/v1/audit-logs và các endpoint Pha 1 phụ trợ chỉ là readiness/regression; /pay mô phỏng không chứng minh CARD/QR/CASH.</t>
  </si>
  <si>
    <t>Phạm vi Pha 3</t>
  </si>
  <si>
    <t>Combo/menu full/versioning, ERP/E-invoice thực, offline sync stub không gộp vào Pha 2 trừ khi PO đổi scope.</t>
  </si>
  <si>
    <t>Baseline</t>
  </si>
  <si>
    <t>Git main api-catalog sha 597dd8e3; OpenAPI sha 65a264a4 (file snapshots). Chưa đối chiếu staging runtime 25/10.</t>
  </si>
  <si>
    <t>AFG POS – PHASE 2 TEST CASES | 71 thiết kế, 0 business execution</t>
  </si>
  <si>
    <t>Pha 2 Sprint 3–4 | Contract Pha 2 chưa triển khai trong OpenAPI snapshot; mọi Actual/Status chỉ cập nhật từ run thật.</t>
  </si>
  <si>
    <t>TC ID</t>
  </si>
  <si>
    <t>Tiêu đề Test Case</t>
  </si>
  <si>
    <t>Module</t>
  </si>
  <si>
    <t>Priority</t>
  </si>
  <si>
    <t>Severity</t>
  </si>
  <si>
    <t>Loại Test</t>
  </si>
  <si>
    <t>Preconditions
(Điều kiện tiên quyết)</t>
  </si>
  <si>
    <t>Test Steps
(Các bước thực hiện)</t>
  </si>
  <si>
    <t>Test Data
(Dữ liệu đầu vào)</t>
  </si>
  <si>
    <t>Expected Result
(Kết quả mong đợi)</t>
  </si>
  <si>
    <t>Actual Result
(Kết quả thực tế)</t>
  </si>
  <si>
    <t>Status</t>
  </si>
  <si>
    <t>Ngày thực hiện</t>
  </si>
  <si>
    <t>Người thực hiện</t>
  </si>
  <si>
    <t>Req ID</t>
  </si>
  <si>
    <t>Automation?</t>
  </si>
  <si>
    <t>Ghi chú</t>
  </si>
  <si>
    <t>Method + Endpoint</t>
  </si>
  <si>
    <t>Postman Ref</t>
  </si>
  <si>
    <t>Nguồn / Version</t>
  </si>
  <si>
    <t>Contract / RFI</t>
  </si>
  <si>
    <t>P2-PAY-001</t>
  </si>
  <si>
    <t>Thanh toán CASH đủ số tiền</t>
  </si>
  <si>
    <t>Payment Processing</t>
  </si>
  <si>
    <t>Critical</t>
  </si>
  <si>
    <t>Positive</t>
  </si>
  <si>
    <t>Staging/QA cô lập; order có các món SERVED, chưa thanh toán; test gateway sandbox và role được cấp.</t>
  </si>
  <si>
    <t>1. Xác minh SHA/role/fixture cô lập.
2. Gửi CASH đúng tổng bill; đọc lại payments/order/table.
3. Đọc lại order/session/ledger/audit và đối chiếu expected; dọn fixture thuộc QA.</t>
  </si>
  <si>
    <t>amount=total; method=CASH</t>
  </si>
  <si>
    <t>Một giao dịch được ghi, tổng đã trả khớp bill; trạng thái order/bàn chuyển đúng contract; audit có actor/thời điểm; HTTP/payload TBD khi route đề xuất.</t>
  </si>
  <si>
    <t>Not Executed</t>
  </si>
  <si>
    <t>BRD Payment Processing; Board Pha 2</t>
  </si>
  <si>
    <t>Có – sau contract &amp; fixture</t>
  </si>
  <si>
    <t>Design only; Đề xuất Pha 2. Không suy PASS từ preflight.</t>
  </si>
  <si>
    <t>POST /orders/{id}/payments</t>
  </si>
  <si>
    <t>Chưa có Postman Pha 2</t>
  </si>
  <si>
    <t>SRC-BRD; SRC-BOARD; SRC-CATALOG; SRC-OPENAPI (main snapshot)</t>
  </si>
  <si>
    <t>Contract: Đề xuất Pha 2; RFI: P2-RFI-PAY</t>
  </si>
  <si>
    <t>P2-PAY-002</t>
  </si>
  <si>
    <t>Thanh toán CARD qua sandbox thành công</t>
  </si>
  <si>
    <t>Integration</t>
  </si>
  <si>
    <t>1. Xác minh SHA/role/fixture cô lập.
2. Tạo CARD payment và nhận kết quả sandbox thành công.
3. Đọc lại order/session/ledger/audit và đối chiếu expected; dọn fixture thuộc QA.</t>
  </si>
  <si>
    <t>tokenized card sandbox</t>
  </si>
  <si>
    <t>Chỉ xác nhận PAID sau callback hợp lệ; không lưu PAN/CVV; giao dịch truy vết được; HTTP/payload TBD khi route đề xuất.</t>
  </si>
  <si>
    <t>BRD Payment Processing</t>
  </si>
  <si>
    <t>P2-PAY-003</t>
  </si>
  <si>
    <t>Thanh toán QR Pay qua sandbox thành công</t>
  </si>
  <si>
    <t>1. Xác minh SHA/role/fixture cô lập.
2. Tạo QR payment; xác nhận callback hợp lệ.
3. Đọc lại order/session/ledger/audit và đối chiếu expected; dọn fixture thuộc QA.</t>
  </si>
  <si>
    <t>provider sandbox transaction</t>
  </si>
  <si>
    <t>Không đóng bill trước xác nhận; sau xác nhận ghi đúng amount, provider reference và audit; HTTP/payload TBD khi route đề xuất.</t>
  </si>
  <si>
    <t>P2-PAY-004</t>
  </si>
  <si>
    <t>Gateway trả thất bại và cho phép thử lại</t>
  </si>
  <si>
    <t>Negative</t>
  </si>
  <si>
    <t>1. Xác minh SHA/role/fixture cô lập.
2. Mô phỏng failed callback rồi retry bằng giao dịch mới.
3. Đọc lại order/session/ledger/audit và đối chiếu expected; dọn fixture thuộc QA.</t>
  </si>
  <si>
    <t>failed callback + retry</t>
  </si>
  <si>
    <t>Bill còn unpaid, không ghi PAID giả; retry không nhân đôi số tiền; HTTP/payload TBD khi route đề xuất.</t>
  </si>
  <si>
    <t>BRD Payment failure recovery</t>
  </si>
  <si>
    <t>P2-PAY-005</t>
  </si>
  <si>
    <t>Callback lặp không tạo thanh toán trùng</t>
  </si>
  <si>
    <t>Idempotency</t>
  </si>
  <si>
    <t>1. Xác minh SHA/role/fixture cô lập.
2. Gửi hai callback giống nhau có chữ ký hợp lệ.
3. Đọc lại order/session/ledger/audit và đối chiếu expected; dọn fixture thuộc QA.</t>
  </si>
  <si>
    <t>same provider event ID</t>
  </si>
  <si>
    <t>Một payment/transition duy nhất; các lần lặp được nhận diện idempotent; HTTP/payload TBD khi route đề xuất.</t>
  </si>
  <si>
    <t>BRD Payment confirmation; Data Consistency</t>
  </si>
  <si>
    <t>POST /payments/webhooks/{provider}</t>
  </si>
  <si>
    <t>P2-PAY-006</t>
  </si>
  <si>
    <t>Callback sai chữ ký bị từ chối</t>
  </si>
  <si>
    <t>Security</t>
  </si>
  <si>
    <t>1. Xác minh SHA/role/fixture cô lập.
2. Gửi callback sai chữ ký/tamper amount.
3. Đọc lại order/session/ledger/audit và đối chiếu expected; dọn fixture thuộc QA.</t>
  </si>
  <si>
    <t>signature invalid</t>
  </si>
  <si>
    <t>Không ghi payment, không đổi order/table; sự kiện được log an toàn; HTTP/payload TBD khi route đề xuất.</t>
  </si>
  <si>
    <t>BRD Payment Security</t>
  </si>
  <si>
    <t>P2-PAY-007</t>
  </si>
  <si>
    <t>Thiếu số tiền hoặc phương thức không hợp lệ</t>
  </si>
  <si>
    <t>High</t>
  </si>
  <si>
    <t>Validation</t>
  </si>
  <si>
    <t>1. Xác minh SHA/role/fixture cô lập.
2. Gửi thiếu amount, amount ≤ 0, hoặc method ngoài danh mục.
3. Đọc lại order/session/ledger/audit và đối chiếu expected; dọn fixture thuộc QA.</t>
  </si>
  <si>
    <t>amount=0; method=UNKNOWN</t>
  </si>
  <si>
    <t>Request bị từ chối theo mã lỗi contract; không có payment mới; HTTP/payload TBD khi route đề xuất.</t>
  </si>
  <si>
    <t>P2-PAY-008</t>
  </si>
  <si>
    <t>Split bill tổng bằng bill gốc</t>
  </si>
  <si>
    <t>1. Xác minh SHA/role/fixture cô lập.
2. Tách theo món/số tiền theo luật đã chốt, thanh toán từng phần.
3. Đọc lại order/session/ledger/audit và đối chiếu expected; dọn fixture thuộc QA.</t>
  </si>
  <si>
    <t>hai nhóm món; discount/fee</t>
  </si>
  <si>
    <t>Các phần tổng hợp khớp bill gốc, tax/discount/fee phân bổ đúng; bàn chưa đóng khi còn unpaid; HTTP/payload TBD khi route đề xuất.</t>
  </si>
  <si>
    <t>BR-SB-003/004/005/006/009</t>
  </si>
  <si>
    <t>POST /orders/{id}/split-bill</t>
  </si>
  <si>
    <t>Contract: Đề xuất Pha 2; RFI: P2-RFI-SPLIT</t>
  </si>
  <si>
    <t>P2-PAY-009</t>
  </si>
  <si>
    <t>Không chuyển món đã trả sang bill khác</t>
  </si>
  <si>
    <t>1. Xác minh SHA/role/fixture cô lập.
2. Thanh toán một bill con rồi thử chuyển món đã trả.
3. Đọc lại order/session/ledger/audit và đối chiếu expected; dọn fixture thuộc QA.</t>
  </si>
  <si>
    <t>một split đã PAID</t>
  </si>
  <si>
    <t>Chặn thay đổi, phần đã trả và audit giữ nguyên; HTTP/payload TBD khi route đề xuất.</t>
  </si>
  <si>
    <t>BR-SB-002/008</t>
  </si>
  <si>
    <t>P2-PAY-010</t>
  </si>
  <si>
    <t>Bấm xác nhận split hai lần</t>
  </si>
  <si>
    <t>Concurrency</t>
  </si>
  <si>
    <t>1. Xác minh SHA/role/fixture cô lập.
2. Gửi cùng request/key lặp trong 3 giây.
3. Đọc lại order/session/ledger/audit và đối chiếu expected; dọn fixture thuộc QA.</t>
  </si>
  <si>
    <t>same key / double tap</t>
  </si>
  <si>
    <t>Không tạo thêm bill con; audit không nhân đôi business action; HTTP/payload TBD khi route đề xuất.</t>
  </si>
  <si>
    <t>BR-SB-010/011</t>
  </si>
  <si>
    <t>P2-PAY-011</t>
  </si>
  <si>
    <t>Cashier và Supervisor được thanh toán, Waiter bị chặn</t>
  </si>
  <si>
    <t>RBAC</t>
  </si>
  <si>
    <t>1. Xác minh SHA/role/fixture cô lập.
2. Gửi cùng business action với ba role, mỗi lượt fixture riêng.
3. Đọc lại order/session/ledger/audit và đối chiếu expected; dọn fixture thuộc QA.</t>
  </si>
  <si>
    <t>CASHIER/SUPERVISOR/WAITER</t>
  </si>
  <si>
    <t>Role hợp lệ được xử lý; role không hợp lệ không đổi dữ liệu; xác nhận lại mâu thuẫn Customer trong matrix; HTTP/payload TBD khi route đề xuất.</t>
  </si>
  <si>
    <t>BRD Permission Matrix: Process Payment; catalog Pha 1 /pay</t>
  </si>
  <si>
    <t>Contract: Đề xuất Pha 2; RFI: P2-RFI-ROLE</t>
  </si>
  <si>
    <t>P2-TBL-001</t>
  </si>
  <si>
    <t>Transfer giữ nguyên session/order/ticket</t>
  </si>
  <si>
    <t>Table Management nâng cao</t>
  </si>
  <si>
    <t>Hai bàn QA riêng trong cùng outlet; session/order/ticket có ID và trạng thái đã chụp trước thao tác.</t>
  </si>
  <si>
    <t>1. Xác minh SHA/role/fixture cô lập.
2. Chuyển session từ bàn OCCUPIED sang bàn AVAILABLE cùng outlet.
3. Đọc lại order/session/ledger/audit và đối chiếu expected; dọn fixture thuộc QA.</t>
  </si>
  <si>
    <t>QA fixture cô lập</t>
  </si>
  <si>
    <t>Giữ session ID, order/ticket; bàn nguồn AVAILABLE, đích OCCUPIED; audit có actor/time; HTTP/payload TBD khi route đề xuất.</t>
  </si>
  <si>
    <t>BR-TT-001/002/004/005/010/011</t>
  </si>
  <si>
    <t>POST /tables/{id}/transfer</t>
  </si>
  <si>
    <t>Contract: Đề xuất Pha 2; RFI: P2-RFI-TABLE</t>
  </si>
  <si>
    <t>P2-TBL-002</t>
  </si>
  <si>
    <t>Transfer sang bàn đang OCCUPIED bị chặn</t>
  </si>
  <si>
    <t>1. Xác minh SHA/role/fixture cô lập.
2. Chọn bàn đích đã có active session.
3. Đọc lại order/session/ledger/audit và đối chiếu expected; dọn fixture thuộc QA.</t>
  </si>
  <si>
    <t>Không ghi đè session đích; nguồn/đích/order giữ nguyên; HTTP/payload TBD khi route đề xuất.</t>
  </si>
  <si>
    <t>BR-TT-002</t>
  </si>
  <si>
    <t>P2-TBL-003</t>
  </si>
  <si>
    <t>Transfer sau thanh toán bị chặn</t>
  </si>
  <si>
    <t>State Guard</t>
  </si>
  <si>
    <t>1. Xác minh SHA/role/fixture cô lập.
2. Thử chuyển order PAID và order BILLING.
3. Đọc lại order/session/ledger/audit và đối chiếu expected; dọn fixture thuộc QA.</t>
  </si>
  <si>
    <t>PAID bị chặn; BILLING xử lý theo role policy PO/BE, không sửa sai số tiền; HTTP/payload TBD khi route đề xuất.</t>
  </si>
  <si>
    <t>BR-TT-003/009</t>
  </si>
  <si>
    <t>P2-TBL-004</t>
  </si>
  <si>
    <t>Transfer đồng bộ KDS và QR đúng bàn</t>
  </si>
  <si>
    <t>1. Xác minh SHA/role/fixture cô lập.
2. Chuyển bàn khi ticket đang IN_PROGRESS và QR còn hiệu lực.
3. Đọc lại order/session/ledger/audit và đối chiếu expected; dọn fixture thuộc QA.</t>
  </si>
  <si>
    <t>Ticket gốc vẫn liên kết; nhãn bàn mới, QR remap; thiết bị đồng bộ ≤2s nếu môi trường đo được; HTTP/payload TBD khi route đề xuất.</t>
  </si>
  <si>
    <t>BR-TT-005/006/007</t>
  </si>
  <si>
    <t>P2-TBL-005</t>
  </si>
  <si>
    <t>Transfer lặp và concurrent không nhân đôi</t>
  </si>
  <si>
    <t>1. Xác minh SHA/role/fixture cô lập.
2. Gửi cùng key rồi hai key đồng thời cho cùng session.
3. Đọc lại order/session/ledger/audit và đối chiếu expected; dọn fixture thuộc QA.</t>
  </si>
  <si>
    <t>Chỉ một chuyển có hiệu lực, bên còn lại conflict có thể truy vết; không bỏ orphan session; HTTP/payload TBD khi route đề xuất.</t>
  </si>
  <si>
    <t>BR-TT-008/013</t>
  </si>
  <si>
    <t>P2-TBL-006</t>
  </si>
  <si>
    <t>Transfer kiểm tra sức chứa</t>
  </si>
  <si>
    <t>Boundary</t>
  </si>
  <si>
    <t>1. Xác minh SHA/role/fixture cô lập.
2. Chọn bàn đích ít ghế hơn guest_count.
3. Đọc lại order/session/ledger/audit và đối chiếu expected; dọn fixture thuộc QA.</t>
  </si>
  <si>
    <t>guest_count &gt; seats</t>
  </si>
  <si>
    <t>Chặn hoặc yêu cầu override theo policy; không thay đổi dữ liệu khi từ chối; HTTP/payload TBD khi route đề xuất.</t>
  </si>
  <si>
    <t>BR-TT-014</t>
  </si>
  <si>
    <t>P2-TBL-007</t>
  </si>
  <si>
    <t>Merge hai bàn active vào master session</t>
  </si>
  <si>
    <t>1. Xác minh SHA/role/fixture cô lập.
2. Gộp hai bàn OCCUPIED có order và ticket riêng.
3. Đọc lại order/session/ledger/audit và đối chiếu expected; dọn fixture thuộc QA.</t>
  </si>
  <si>
    <t>Một master session; lịch sử nguồn và ticket giữ tham chiếu; bill gồm món unpaid, audit đủ; HTTP/payload TBD khi route đề xuất.</t>
  </si>
  <si>
    <t>BR-MT-003/004/005/006/013</t>
  </si>
  <si>
    <t>POST /tables/merge</t>
  </si>
  <si>
    <t>P2-TBL-008</t>
  </si>
  <si>
    <t>Merge bàn BILLING/CLEANING bị chặn</t>
  </si>
  <si>
    <t>1. Xác minh SHA/role/fixture cô lập.
2. Chọn một bàn BILLING hoặc CLEANING.
3. Đọc lại order/session/ledger/audit và đối chiếu expected; dọn fixture thuộc QA.</t>
  </si>
  <si>
    <t>Không tạo master session, không chuyển order/ticket; trả lỗi theo contract; HTTP/payload TBD khi route đề xuất.</t>
  </si>
  <si>
    <t>BR-MT-002; BRD Merge edge case</t>
  </si>
  <si>
    <t>P2-TBL-009</t>
  </si>
  <si>
    <t>Merge concurrent và double-tap</t>
  </si>
  <si>
    <t>1. Xác minh SHA/role/fixture cô lập.
2. Hai waiter gộp cùng bàn đồng thời, sau đó lặp request.
3. Đọc lại order/session/ledger/audit và đối chiếu expected; dọn fixture thuộc QA.</t>
  </si>
  <si>
    <t>Một kết quả duy nhất; request còn lại báo conflict; audit không nhân đôi; HTTP/payload TBD khi route đề xuất.</t>
  </si>
  <si>
    <t>BR-MT-009/011</t>
  </si>
  <si>
    <t>P2-TBL-010</t>
  </si>
  <si>
    <t>Merge giữ QR order và trạng thái CLEANING sau pay</t>
  </si>
  <si>
    <t>1. Xác minh SHA/role/fixture cô lập.
2. Gộp bàn có QR order; thanh toán bill hợp nhất.
3. Đọc lại order/session/ledger/audit và đối chiếu expected; dọn fixture thuộc QA.</t>
  </si>
  <si>
    <t>QR order về master session; tất cả bàn gộp sang CLEANING sau payment; HTTP/payload TBD khi route đề xuất.</t>
  </si>
  <si>
    <t>BR-MT-007/014</t>
  </si>
  <si>
    <t>P2-TBL-011</t>
  </si>
  <si>
    <t>Split order/bàn giữ nguyên tổng và lịch sử</t>
  </si>
  <si>
    <t>1. Xác minh SHA/role/fixture cô lập.
2. Tách nhóm item chưa trả sang session/order đích.
3. Đọc lại order/session/ledger/audit và đối chiếu expected; dọn fixture thuộc QA.</t>
  </si>
  <si>
    <t>Không thất lạc món/ticket, tiền không đổi; audit liên kết nguồn/đích; policy phân biệt split table/bill cần PO chốt; HTTP/payload TBD khi route đề xuất.</t>
  </si>
  <si>
    <t>Board Pha 2 Split; catalog POST /orders/{id}/split</t>
  </si>
  <si>
    <t>POST /orders/{id}/split</t>
  </si>
  <si>
    <t>P2-TBL-012</t>
  </si>
  <si>
    <t>Cross-outlet transfer/merge/split bị từ chối</t>
  </si>
  <si>
    <t>1. Xác minh SHA/role/fixture cô lập.
2. Dùng token outlet A với bàn/order outlet B.
3. Đọc lại order/session/ledger/audit và đối chiếu expected; dọn fixture thuộc QA.</t>
  </si>
  <si>
    <t>Không lộ hoặc sửa dữ liệu outlet B; không có session orphan; HTTP/payload TBD khi route đề xuất.</t>
  </si>
  <si>
    <t>BRD table ownership; Permission Matrix</t>
  </si>
  <si>
    <t>POST /tables/{id}/transfer; POST /tables/merge; POST /orders/{id}/split</t>
  </si>
  <si>
    <t>P2-USR-001</t>
  </si>
  <si>
    <t>Supervisor tạo staff theo role/outlet</t>
  </si>
  <si>
    <t>User &amp; Permission</t>
  </si>
  <si>
    <t>Tài khoản QA theo từng role/outlet; có đường khôi phục; không dùng tài khoản người thật.</t>
  </si>
  <si>
    <t>1. Xác minh SHA/role/fixture cô lập.
2. Tạo QA staff mỗi role với outlet hợp lệ.
3. Đọc lại order/session/ledger/audit và đối chiếu expected; dọn fixture thuộc QA.</t>
  </si>
  <si>
    <t>Staff mới đăng nhập đúng role/outlet; không lộ credential trong response/log; HTTP/payload TBD khi route đề xuất.</t>
  </si>
  <si>
    <t>BRD User &amp; Permission: Role Management</t>
  </si>
  <si>
    <t>POST /staff</t>
  </si>
  <si>
    <t>P2-USR-002</t>
  </si>
  <si>
    <t>Waiter/Cashier/Kitchen không quản lý staff</t>
  </si>
  <si>
    <t>1. Xác minh SHA/role/fixture cô lập.
2. Dùng role thấp tạo/sửa/khóa account.
3. Đọc lại order/session/ledger/audit và đối chiếu expected; dọn fixture thuộc QA.</t>
  </si>
  <si>
    <t>Bị chặn; không có thay đổi staff, audit ghi lần thử theo policy; HTTP/payload TBD khi route đề xuất.</t>
  </si>
  <si>
    <t>BRD User &amp; Permission; catalog Role Management</t>
  </si>
  <si>
    <t>POST /staff; PATCH /staff/{id}</t>
  </si>
  <si>
    <t>P2-USR-003</t>
  </si>
  <si>
    <t>Supervisor đổi role và áp dụng quyền tức thời</t>
  </si>
  <si>
    <t>1. Xác minh SHA/role/fixture cô lập.
2. Đổi role QA staff, thử dùng token cũ/mới trên API nhạy cảm.
3. Đọc lại order/session/ledger/audit và đối chiếu expected; dọn fixture thuộc QA.</t>
  </si>
  <si>
    <t>Quyền cập nhật theo policy đã chốt; token cũ không mở rộng quyền trái phép; HTTP/payload TBD khi route đề xuất.</t>
  </si>
  <si>
    <t>BRD Permission Matrix</t>
  </si>
  <si>
    <t>PATCH /staff/{id}</t>
  </si>
  <si>
    <t>P2-USR-004</t>
  </si>
  <si>
    <t>Khóa và mở khóa staff QA</t>
  </si>
  <si>
    <t>1. Xác minh SHA/role/fixture cô lập.
2. Khóa tài khoản, thử login/refresh, rồi mở lại.
3. Đọc lại order/session/ledger/audit và đối chiếu expected; dọn fixture thuộc QA.</t>
  </si>
  <si>
    <t>Tài khoản khóa không thao tác; sau mở lại hoạt động theo contract, có audit; HTTP/payload TBD khi route đề xuất.</t>
  </si>
  <si>
    <t>BRD Role Management; SEC-02</t>
  </si>
  <si>
    <t>POST /staff/{id}/lock; /unlock</t>
  </si>
  <si>
    <t>P2-USR-005</t>
  </si>
  <si>
    <t>Reset password không lộ secret</t>
  </si>
  <si>
    <t>1. Xác minh SHA/role/fixture cô lập.
2. Supervisor reset cho account QA và thử token cũ.
3. Đọc lại order/session/ledger/audit và đối chiếu expected; dọn fixture thuộc QA.</t>
  </si>
  <si>
    <t>Secret không ở response/log; vòng đời token và yêu cầu đổi mật khẩu theo policy; HTTP/payload TBD khi route đề xuất.</t>
  </si>
  <si>
    <t>BRD User &amp; Permission; SEC-02</t>
  </si>
  <si>
    <t>POST /staff/{id}/reset-password</t>
  </si>
  <si>
    <t>P2-USR-006</t>
  </si>
  <si>
    <t>PIN login sai N lần khóa tài khoản</t>
  </si>
  <si>
    <t>1. Xác minh SHA/role/fixture cô lập.
2. Nhập sai PIN đến ngưỡng N do PO chốt.
3. Đọc lại order/session/ledger/audit và đối chiếu expected; dọn fixture thuộc QA.</t>
  </si>
  <si>
    <t>N-1, N, N+1</t>
  </si>
  <si>
    <t>Khóa/cooldown theo policy, không lộ tài khoản hợp lệ, có audit; HTTP/payload TBD khi route đề xuất.</t>
  </si>
  <si>
    <t>SEC-02 (BE: chưa chốt PIN/lockout)</t>
  </si>
  <si>
    <t>POST /auth/pin-login</t>
  </si>
  <si>
    <t>Contract: Đề xuất Pha 2; RFI: P2-RFI-PIN</t>
  </si>
  <si>
    <t>P2-USR-007</t>
  </si>
  <si>
    <t>Refresh token hết hạn và token bị thu hồi</t>
  </si>
  <si>
    <t>1. Xác minh SHA/role/fixture cô lập.
2. Refresh token hợp lệ/hết hạn/đã khóa.
3. Đọc lại order/session/ledger/audit và đối chiếu expected; dọn fixture thuộc QA.</t>
  </si>
  <si>
    <t>Chỉ token hợp lệ được cấp lại; không gia hạn token bị thu hồi; HTTP/payload TBD khi route đề xuất.</t>
  </si>
  <si>
    <t>SEC-02; catalog Pha 2</t>
  </si>
  <si>
    <t>POST /auth/refresh</t>
  </si>
  <si>
    <t>P2-USR-008</t>
  </si>
  <si>
    <t>Bảng quyền POS/KDS/QR theo từng vai trò</t>
  </si>
  <si>
    <t>1. Xác minh SHA/role/fixture cô lập.
2. Chạy ma trận Cashier/Waiter/Kitchen/Supervisor/Customer theo action.
3. Đọc lại order/session/ledger/audit và đối chiếu expected; dọn fixture thuộc QA.</t>
  </si>
  <si>
    <t>Mỗi ô quyền có kết quả đúng contract; chênh lệch BRD vs BE được PO chốt trước khi PASS; HTTP/payload TBD khi route đề xuất.</t>
  </si>
  <si>
    <t>BRD Permission Matrix 5 vai trò; current API RBAC</t>
  </si>
  <si>
    <t>Các write/read endpoints Phase 2</t>
  </si>
  <si>
    <t>P2-USR-009</t>
  </si>
  <si>
    <t>Staff outlet A không đọc/sửa staff outlet B</t>
  </si>
  <si>
    <t>1. Xác minh SHA/role/fixture cô lập.
2. Dùng token A truy vấn staff B và thay đổi role.
3. Đọc lại order/session/ledger/audit và đối chiếu expected; dọn fixture thuộc QA.</t>
  </si>
  <si>
    <t>Không lộ dữ liệu hoặc sửa staff B; không dùng 404/403 cố định trước contract; HTTP/payload TBD khi route đề xuất.</t>
  </si>
  <si>
    <t>BRD outlet isolation</t>
  </si>
  <si>
    <t>GET/PATCH /staff/{id}</t>
  </si>
  <si>
    <t>P2-AUD-001</t>
  </si>
  <si>
    <t>Tìm audit theo order/action/time</t>
  </si>
  <si>
    <t>Audit Search / Report</t>
  </si>
  <si>
    <t>Có audit rows QA gắn order/session; Supervisor token; lọc theo đúng outlet.</t>
  </si>
  <si>
    <t>1. Xác minh SHA/role/fixture cô lập.
2. Lọc order_id, action, time window trên QA rows.
3. Đọc lại order/session/ledger/audit và đối chiếu expected; dọn fixture thuộc QA.</t>
  </si>
  <si>
    <t>QA order with multiple actions</t>
  </si>
  <si>
    <t>Chỉ trả bản ghi đúng filter và outlet, actor/time đầy đủ; không sửa audit; HTTP/payload TBD khi route đề xuất.</t>
  </si>
  <si>
    <t>BRD Audit &amp; Logging; catalog A7</t>
  </si>
  <si>
    <t>Design only; Đã có Pha 1. Không suy PASS từ preflight.</t>
  </si>
  <si>
    <t>GET /api/v1/audit-logs</t>
  </si>
  <si>
    <t>Contract: Đã có Pha 1; RFI: P2-RFI-AUD</t>
  </si>
  <si>
    <t>P2-AUD-002</t>
  </si>
  <si>
    <t>Audit search phân trang ổn định</t>
  </si>
  <si>
    <t>1. Xác minh SHA/role/fixture cô lập.
2. Đọc nhiều trang khi có cùng timestamp và filter.
3. Đọc lại order/session/ledger/audit và đối chiếu expected; dọn fixture thuộc QA.</t>
  </si>
  <si>
    <t>limit/offset</t>
  </si>
  <si>
    <t>Không trùng/lọt row theo sort contract; số lượng và boundaries chính xác; HTTP/payload TBD khi route đề xuất.</t>
  </si>
  <si>
    <t>GET /api/v1/audit-logs?limit=&amp;offset=</t>
  </si>
  <si>
    <t>P2-AUD-003</t>
  </si>
  <si>
    <t>Role thấp không đọc audit</t>
  </si>
  <si>
    <t>1. Xác minh SHA/role/fixture cô lập.
2. Gọi bằng Cashier/Waiter/Kitchen và Supervisor.
3. Đọc lại order/session/ledger/audit và đối chiếu expected; dọn fixture thuộc QA.</t>
  </si>
  <si>
    <t>4 roles</t>
  </si>
  <si>
    <t>Role thấp bị chặn; Supervisor đọc đúng outlet; không lộ PII; HTTP/payload TBD khi route đề xuất.</t>
  </si>
  <si>
    <t>BRD Permission Matrix; catalog A7 Supervisor</t>
  </si>
  <si>
    <t>P2-AUD-004</t>
  </si>
  <si>
    <t>Xuất báo cáo audit khớp filter màn tra cứu</t>
  </si>
  <si>
    <t>1. Xác minh SHA/role/fixture cô lập.
2. Xuất theo date/action/outlet; đối chiếu sample với GET.
3. Đọc lại order/session/ledger/audit và đối chiếu expected; dọn fixture thuộc QA.</t>
  </si>
  <si>
    <t>Số dòng, filter, actor/time khớp nguồn; file không có secret, cơ chế download theo contract; HTTP/payload TBD khi route đề xuất.</t>
  </si>
  <si>
    <t>Board Pha 2 Audit Search/Report</t>
  </si>
  <si>
    <t>GET /audit-logs/export [TBD]</t>
  </si>
  <si>
    <t>Contract: Đề xuất Pha 2; RFI: P2-RFI-AUD</t>
  </si>
  <si>
    <t>P2-AUD-005</t>
  </si>
  <si>
    <t>Audit cho payment/table/reward không thể sửa</t>
  </si>
  <si>
    <t>Integrity</t>
  </si>
  <si>
    <t>1. Xác minh SHA/role/fixture cô lập.
2. Tạo QA payment/table/reward action rồi tìm audit.
3. Đọc lại order/session/ledger/audit và đối chiếu expected; dọn fixture thuộc QA.</t>
  </si>
  <si>
    <t>Mỗi action có actor/time/entity; user không thể sửa/xóa audit; lỗi hệ thống vẫn truy vết; HTTP/payload TBD khi route đề xuất.</t>
  </si>
  <si>
    <t>BRD Logging Rules immutable</t>
  </si>
  <si>
    <t>GET /api/v1/audit-logs; write actions</t>
  </si>
  <si>
    <t>P2-QR-001</t>
  </si>
  <si>
    <t>Cấp QR token ràng buộc bàn và session</t>
  </si>
  <si>
    <t>QR Ordering</t>
  </si>
  <si>
    <t>Bàn QA và QR session/token riêng; menu QA có món sẵn; không dùng QR của bàn người khác.</t>
  </si>
  <si>
    <t>1. Xác minh SHA/role/fixture cô lập.
2. Tạo token cho bàn QA, đọc metadata expiry/revoke.
3. Đọc lại order/session/ledger/audit và đối chiếu expected; dọn fixture thuộc QA.</t>
  </si>
  <si>
    <t>Token trỏ đúng table/session, không lộ JWT nhân viên; quyền cấp token chờ contract; HTTP/payload TBD khi route đề xuất.</t>
  </si>
  <si>
    <t>BR-QR-004; Board Pha 2 QR</t>
  </si>
  <si>
    <t>POST /tables/{id}/qr-session</t>
  </si>
  <si>
    <t>Contract: Đề xuất Pha 2; RFI: P2-RFI-QR</t>
  </si>
  <si>
    <t>P2-QR-002</t>
  </si>
  <si>
    <t>Khách xem menu không đăng nhập</t>
  </si>
  <si>
    <t>1. Xác minh SHA/role/fixture cô lập.
2. Gọi bằng trình duyệt không JWT với token hợp lệ.
3. Đọc lại order/session/ledger/audit và đối chiếu expected; dọn fixture thuộc QA.</t>
  </si>
  <si>
    <t>Chỉ món available của outlet, giá/nhóm đúng, món hết không chọn được; HTTP/payload TBD khi route đề xuất.</t>
  </si>
  <si>
    <t>BR-QR-002/007</t>
  </si>
  <si>
    <t>GET /public/qr/{token}/menu</t>
  </si>
  <si>
    <t>P2-QR-003</t>
  </si>
  <si>
    <t>Khách tạo QR order vào đúng session</t>
  </si>
  <si>
    <t>1. Xác minh SHA/role/fixture cô lập.
2. Gửi một cart có món mapped; đọc POS order và KDS.
3. Đọc lại order/session/ledger/audit và đối chiếu expected; dọn fixture thuộc QA.</t>
  </si>
  <si>
    <t>Order gắn session đúng bàn, gửi bếp theo mode, chỉ SENT tới kitchen; không có order lạc; HTTP/payload TBD khi route đề xuất.</t>
  </si>
  <si>
    <t>BR-QR-004/006/009</t>
  </si>
  <si>
    <t>POST /public/qr/{token}/orders</t>
  </si>
  <si>
    <t>P2-QR-004</t>
  </si>
  <si>
    <t>QR + POS order cùng session</t>
  </si>
  <si>
    <t>1. Xác minh SHA/role/fixture cô lập.
2. Tạo POS order cùng bàn trước/sau QR order.
3. Đọc lại order/session/ledger/audit và đối chiếu expected; dọn fixture thuộc QA.</t>
  </si>
  <si>
    <t>Cả hai xuất hiện trong table detail/bill đúng session, không tạo session trùng; HTTP/payload TBD khi route đề xuất.</t>
  </si>
  <si>
    <t>BR-QR-009</t>
  </si>
  <si>
    <t>P2-QR-005</t>
  </si>
  <si>
    <t>Lặp QR request không tạo hai order</t>
  </si>
  <si>
    <t>1. Xác minh SHA/role/fixture cô lập.
2. Gửi cùng request_id/key nhiều lần.
3. Đọc lại order/session/ledger/audit và đối chiếu expected; dọn fixture thuộc QA.</t>
  </si>
  <si>
    <t>Một order/queue ticket được tạo, cùng kết quả replay theo contract; HTTP/payload TBD khi route đề xuất.</t>
  </si>
  <si>
    <t>BR-QR-005</t>
  </si>
  <si>
    <t>P2-QR-006</t>
  </si>
  <si>
    <t>Hai khách cùng bàn gửi đồng thời</t>
  </si>
  <si>
    <t>1. Xác minh SHA/role/fixture cô lập.
2. Gửi hai cart khác request_id trong cùng session.
3. Đọc lại order/session/ledger/audit và đối chiếu expected; dọn fixture thuộc QA.</t>
  </si>
  <si>
    <t>Mỗi cart đúng một order, không thất lạc hoặc trùng, tổng bill đúng; HTTP/payload TBD khi route đề xuất.</t>
  </si>
  <si>
    <t>BR-QR-004/005; QR edge cases</t>
  </si>
  <si>
    <t>P2-QR-007</t>
  </si>
  <si>
    <t>Token sai/hết hạn/thu hồi bị chặn</t>
  </si>
  <si>
    <t>1. Xác minh SHA/role/fixture cô lập.
2. Thử token giả, expired, revoked.
3. Đọc lại order/session/ledger/audit và đối chiếu expected; dọn fixture thuộc QA.</t>
  </si>
  <si>
    <t>Không lộ menu/session/order riêng, không tạo dữ liệu; status theo contract; HTTP/payload TBD khi route đề xuất.</t>
  </si>
  <si>
    <t>BRD Security QR public</t>
  </si>
  <si>
    <t>GET /public/qr/{token}/menu; POST /public/qr/{token}/orders</t>
  </si>
  <si>
    <t>P2-QR-008</t>
  </si>
  <si>
    <t>Token bàn A không đọc order bàn B</t>
  </si>
  <si>
    <t>1. Xác minh SHA/role/fixture cô lập.
2. Dùng token của bàn A với order B, kể cả khác outlet.
3. Đọc lại order/session/ledger/audit và đối chiếu expected; dọn fixture thuộc QA.</t>
  </si>
  <si>
    <t>Không lộ chi tiết hoặc dữ liệu khách B; HTTP/payload TBD khi route đề xuất.</t>
  </si>
  <si>
    <t>BR-QR-004; outlet isolation</t>
  </si>
  <si>
    <t>GET /public/qr/{token}/orders/{id}</t>
  </si>
  <si>
    <t>P2-QR-009</t>
  </si>
  <si>
    <t>Không sửa order sau submit</t>
  </si>
  <si>
    <t>1. Xác minh SHA/role/fixture cô lập.
2. Gửi cập nhật/cancel item đã submit bằng token khách.
3. Đọc lại order/session/ledger/audit và đối chiếu expected; dọn fixture thuộc QA.</t>
  </si>
  <si>
    <t>Không đổi order đã submit; chuyển qua staff exception theo policy; HTTP/payload TBD khi route đề xuất.</t>
  </si>
  <si>
    <t>BR-QR-008</t>
  </si>
  <si>
    <t>QR modify/cancel endpoint (nếu có)</t>
  </si>
  <si>
    <t>P2-QR-010</t>
  </si>
  <si>
    <t>Giá client sửa bị bỏ qua</t>
  </si>
  <si>
    <t>1. Xác minh SHA/role/fixture cô lập.
2. Thay price/discount trong payload so với GET menu.
3. Đọc lại order/session/ledger/audit và đối chiếu expected; dọn fixture thuộc QA.</t>
  </si>
  <si>
    <t>Server tính giá từ nguồn tin cậy; không chấp nhận giá client; HTTP/payload TBD khi route đề xuất.</t>
  </si>
  <si>
    <t>BRD QR cart; Data Consistency</t>
  </si>
  <si>
    <t>P2-QR-011</t>
  </si>
  <si>
    <t>Modifier QR chuyển đúng trạm</t>
  </si>
  <si>
    <t>1. Xác minh SHA/role/fixture cô lập.
2. Chọn modifier được gán trạm khác rồi gửi bếp.
3. Đọc lại order/session/ledger/audit và đối chiếu expected; dọn fixture thuộc QA.</t>
  </si>
  <si>
    <t>QA modifier/station fixture</t>
  </si>
  <si>
    <t>Kitchen ticket và chi tiết modifier đúng từng trạm, tiền đúng quy tắc; HTTP/payload TBD khi route đề xuất.</t>
  </si>
  <si>
    <t>BRD Item customization; Modifier-based routing</t>
  </si>
  <si>
    <t>GET /menu/{id}/modifiers; POST /public/qr/{token}/orders</t>
  </si>
  <si>
    <t>Contract: Đề xuất Pha 2; RFI: P2-RFI-MOD</t>
  </si>
  <si>
    <t>P2-QR-012</t>
  </si>
  <si>
    <t>Modifier không hợp lệ bị từ chối nguyên tử</t>
  </si>
  <si>
    <t>1. Xác minh SHA/role/fixture cô lập.
2. Gửi modifier không thuộc món/không available.
3. Đọc lại order/session/ledger/audit và đối chiếu expected; dọn fixture thuộc QA.</t>
  </si>
  <si>
    <t>Không tạo order/ticket từng phần; phản hồi validation theo contract; HTTP/payload TBD khi route đề xuất.</t>
  </si>
  <si>
    <t>BRD Item customization</t>
  </si>
  <si>
    <t>P2-QR-013</t>
  </si>
  <si>
    <t>Khách yêu cầu bill bằng QR đúng bàn</t>
  </si>
  <si>
    <t>1. Xác minh SHA/role/fixture cô lập.
2. Request bill bằng token hợp lệ và so trạng thái table/order.
3. Đọc lại order/session/ledger/audit và đối chiếu expected; dọn fixture thuộc QA.</t>
  </si>
  <si>
    <t>BILLING cho session đúng, chặn thêm món theo policy; không tác động bàn khác; HTTP/payload TBD khi route đề xuất.</t>
  </si>
  <si>
    <t>BRD QR Ordering payment integration</t>
  </si>
  <si>
    <t>POST /public/qr/{token}/request-bill</t>
  </si>
  <si>
    <t>P2-QR-014</t>
  </si>
  <si>
    <t>QR retry sau mất mạng giữ một order</t>
  </si>
  <si>
    <t>Resilience</t>
  </si>
  <si>
    <t>1. Xác minh SHA/role/fixture cô lập.
2. Giả lập timeout sau server commit, retry cùng request_id.
3. Đọc lại order/session/ledger/audit và đối chiếu expected; dọn fixture thuộc QA.</t>
  </si>
  <si>
    <t>Một order duy nhất, trạng thái có thể truy hồi; không nhân đôi payment/kitchen; HTTP/payload TBD khi route đề xuất.</t>
  </si>
  <si>
    <t>BR-QR-010; BRD network edge</t>
  </si>
  <si>
    <t>P2-QR-015</t>
  </si>
  <si>
    <t>QR flow hoàn thành ≤30 giây</t>
  </si>
  <si>
    <t>Performance</t>
  </si>
  <si>
    <t>1. Xác minh SHA/role/fixture cô lập.
2. Đo từ mở QR đến xác nhận order với fixture chuẩn.
3. Đọc lại order/session/ledger/audit và đối chiếu expected; dọn fixture thuộc QA.</t>
  </si>
  <si>
    <t>Thời gian ≤30s trong điều kiện đo PO/QA chốt; không suy từ preflight API; HTTP/payload TBD khi route đề xuất.</t>
  </si>
  <si>
    <t>BR-QR-001</t>
  </si>
  <si>
    <t>QR public menu/cart/submit flow</t>
  </si>
  <si>
    <t>Contract: Đề xuất Pha 2; RFI: P2-RFI-PERF</t>
  </si>
  <si>
    <t>P2-RWD-001</t>
  </si>
  <si>
    <t>Tạo và tra customer QA theo SĐT</t>
  </si>
  <si>
    <t>Rewards System</t>
  </si>
  <si>
    <t>Customer QA giả lập, order QA và bảng điểm kiểm thử; luật tích/đổi do PO chốt.</t>
  </si>
  <si>
    <t>1. Xác minh SHA/role/fixture cô lập.
2. Tạo customer QA và tra lại bằng phone.
3. Đọc lại order/session/ledger/audit và đối chiếu expected; dọn fixture thuộc QA.</t>
  </si>
  <si>
    <t>SĐT giả lập</t>
  </si>
  <si>
    <t>Một profile đúng outlet/policy; PII mask trong log/response theo quyền; HTTP/payload TBD khi route đề xuất.</t>
  </si>
  <si>
    <t>BRD Rewards customer identification</t>
  </si>
  <si>
    <t>POST /customers; GET /customers?phone=</t>
  </si>
  <si>
    <t>Contract: Đề xuất Pha 2; RFI: P2-RFI-RWD</t>
  </si>
  <si>
    <t>P2-RWD-002</t>
  </si>
  <si>
    <t>SĐT trùng không tạo hai profile</t>
  </si>
  <si>
    <t>1. Xác minh SHA/role/fixture cô lập.
2. Gửi cùng phone hai lần, bao gồm concurrent.
3. Đọc lại order/session/ledger/audit và đối chiếu expected; dọn fixture thuộc QA.</t>
  </si>
  <si>
    <t>Không tạo duplicate identity hoặc điểm phân tán; conflict/replay theo contract; HTTP/payload TBD khi route đề xuất.</t>
  </si>
  <si>
    <t>BRD Rewards identification</t>
  </si>
  <si>
    <t>POST /customers</t>
  </si>
  <si>
    <t>P2-RWD-003</t>
  </si>
  <si>
    <t>Tra cứu số điểm/lịch sử</t>
  </si>
  <si>
    <t>1. Xác minh SHA/role/fixture cô lập.
2. Đọc customer có lịch sử earn/redeem.
3. Đọc lại order/session/ledger/audit và đối chiếu expected; dọn fixture thuộc QA.</t>
  </si>
  <si>
    <t>Balance và từng giao dịch khớp; chỉ role được phép thấy PII; HTTP/payload TBD khi route đề xuất.</t>
  </si>
  <si>
    <t>BRD Rewards tracking</t>
  </si>
  <si>
    <t>GET /customers/{id}/rewards</t>
  </si>
  <si>
    <t>P2-RWD-004</t>
  </si>
  <si>
    <t>Kiểm eligibility trước áp ưu đãi</t>
  </si>
  <si>
    <t>1. Xác minh SHA/role/fixture cô lập.
2. Thử reward đủ/thiếu điều kiện.
3. Đọc lại order/session/ledger/audit và đối chiếu expected; dọn fixture thuộc QA.</t>
  </si>
  <si>
    <t>Chỉ reward hợp lệ được chọn; lý do từ chối theo rule PO chốt; HTTP/payload TBD khi route đề xuất.</t>
  </si>
  <si>
    <t>BRD Reward eligibility check</t>
  </si>
  <si>
    <t>GET /customers/{id}/rewards; POST /orders/{id}/apply-reward</t>
  </si>
  <si>
    <t>P2-RWD-005</t>
  </si>
  <si>
    <t>Áp reward vào order chưa thanh toán</t>
  </si>
  <si>
    <t>1. Xác minh SHA/role/fixture cô lập.
2. Áp ưu đãi vào order QA trước payment.
3. Đọc lại order/session/ledger/audit và đối chiếu expected; dọn fixture thuộc QA.</t>
  </si>
  <si>
    <t>Bill thay đổi đúng luật; lưu reward_id và amount; xử lý ≤30s nếu tiêu chí chốt; HTTP/payload TBD khi route đề xuất.</t>
  </si>
  <si>
    <t>BRD Rewards application ≤30 sec</t>
  </si>
  <si>
    <t>POST /orders/{id}/apply-reward</t>
  </si>
  <si>
    <t>P2-RWD-006</t>
  </si>
  <si>
    <t>Điểm không bị dùng hai lần</t>
  </si>
  <si>
    <t>1. Xác minh SHA/role/fixture cô lập.
2. Hai request đồng thời dùng cùng balance/reward.
3. Đọc lại order/session/ledger/audit và đối chiếu expected; dọn fixture thuộc QA.</t>
  </si>
  <si>
    <t>Một redemption hợp lệ; balance không âm, audit/reward history nhất quán; HTTP/payload TBD khi route đề xuất.</t>
  </si>
  <si>
    <t>BRD Rewards tracking; Data Consistency</t>
  </si>
  <si>
    <t>P2-RWD-007</t>
  </si>
  <si>
    <t>Gỡ reward trước payment</t>
  </si>
  <si>
    <t>1. Xác minh SHA/role/fixture cô lập.
2. Áp reward rồi gỡ trước thanh toán.
3. Đọc lại order/session/ledger/audit và đối chiếu expected; dọn fixture thuộc QA.</t>
  </si>
  <si>
    <t>Bill và điểm hoàn nguyên đúng, có audit, không tạo refund ngoài ý muốn; HTTP/payload TBD khi route đề xuất.</t>
  </si>
  <si>
    <t>BRD Rewards correction</t>
  </si>
  <si>
    <t>DELETE /orders/{id}/rewards/{reward_id}</t>
  </si>
  <si>
    <t>P2-RWD-008</t>
  </si>
  <si>
    <t>Không gỡ hoặc áp reward sau PAID</t>
  </si>
  <si>
    <t>1. Xác minh SHA/role/fixture cô lập.
2. Thử sửa ưu đãi khi order đã PAID.
3. Đọc lại order/session/ledger/audit và đối chiếu expected; dọn fixture thuộc QA.</t>
  </si>
  <si>
    <t>Bị chặn hoặc đi qua adjustment contract; số tiền/điểm không thay trái phép; HTTP/payload TBD khi route đề xuất.</t>
  </si>
  <si>
    <t>BRD Payment/Rewards integrity</t>
  </si>
  <si>
    <t>POST /orders/{id}/apply-reward; DELETE /orders/{id}/rewards/{reward_id}</t>
  </si>
  <si>
    <t>P2-RWD-009</t>
  </si>
  <si>
    <t>Payment failed không trừ điểm vĩnh viễn</t>
  </si>
  <si>
    <t>1. Xác minh SHA/role/fixture cô lập.
2. Áp reward rồi payment thất bại/cancel.
3. Đọc lại order/session/ledger/audit và đối chiếu expected; dọn fixture thuộc QA.</t>
  </si>
  <si>
    <t>Điểm giữ/hoàn theo luật PO; không duplicate earn/redeem; HTTP/payload TBD khi route đề xuất.</t>
  </si>
  <si>
    <t>BRD Payment failure recovery; Rewards</t>
  </si>
  <si>
    <t>POST /orders/{id}/apply-reward; payment callbacks</t>
  </si>
  <si>
    <t>P2-RWD-010</t>
  </si>
  <si>
    <t>Cross-outlet/customer không lộ điểm</t>
  </si>
  <si>
    <t>1. Xác minh SHA/role/fixture cô lập.
2. Dùng token outlet A/customer A truy vấn customer B.
3. Đọc lại order/session/ledger/audit và đối chiếu expected; dọn fixture thuộc QA.</t>
  </si>
  <si>
    <t>Không lộ PII hoặc balance; không áp reward của người khác; HTTP/payload TBD khi route đề xuất.</t>
  </si>
  <si>
    <t>BRD Data Protection; Rewards</t>
  </si>
  <si>
    <t>P2-RWD-011</t>
  </si>
  <si>
    <t>Tích điểm sau pay đúng một lần</t>
  </si>
  <si>
    <t>1. Xác minh SHA/role/fixture cô lập.
2. Xác nhận payment rồi replay callback.
3. Đọc lại order/session/ledger/audit và đối chiếu expected; dọn fixture thuộc QA.</t>
  </si>
  <si>
    <t>Earn đúng luật, ghi một ledger entry; không cộng lặp; HTTP/payload TBD khi route đề xuất.</t>
  </si>
  <si>
    <t>Payment confirmation + rewards ledger</t>
  </si>
  <si>
    <t>P2-MON-001</t>
  </si>
  <si>
    <t>Sentry nhận lỗi staging QA có context an toàn</t>
  </si>
  <si>
    <t>System Control &amp; Monitoring</t>
  </si>
  <si>
    <t>Observability</t>
  </si>
  <si>
    <t>Staging có giám sát cô lập, quan sát log/trace không chứa secret.</t>
  </si>
  <si>
    <t>1. Xác minh SHA/role/fixture cô lập.
2. Gây lỗi QA có correlation ID không chứa dữ liệu thật.
3. Đọc lại order/session/ledger/audit và đối chiếu expected; dọn fixture thuộc QA.</t>
  </si>
  <si>
    <t>Sự kiện xuất hiện một lần, có môi trường/build/route; không có token/PIN/PII; HTTP/payload TBD khi route đề xuất.</t>
  </si>
  <si>
    <t>Board Pha 2 System Control &amp; Monitoring</t>
  </si>
  <si>
    <t>Sentry staging integration</t>
  </si>
  <si>
    <t>Contract: Đề xuất Pha 2; RFI: P2-RFI-MON</t>
  </si>
  <si>
    <t>P2-MON-002</t>
  </si>
  <si>
    <t>Không ghi secret trong log/error</t>
  </si>
  <si>
    <t>1. Xác minh SHA/role/fixture cô lập.
2. Gửi token/PIN/test card; kiểm log, audit, Sentry.
3. Đọc lại order/session/ledger/audit và đối chiếu expected; dọn fixture thuộc QA.</t>
  </si>
  <si>
    <t>Không lộ credential, full phone, payment secret; mask theo policy; HTTP/payload TBD khi route đề xuất.</t>
  </si>
  <si>
    <t>BRD Data Protection; Logging Rules</t>
  </si>
  <si>
    <t>Auth, QR, payment and rewards errors</t>
  </si>
  <si>
    <t>P2-MON-003</t>
  </si>
  <si>
    <t>Lỗi gateway báo trạng thái có thể retry</t>
  </si>
  <si>
    <t>1. Xác minh SHA/role/fixture cô lập.
2. Giả lập timeout 3s và request retry.
3. Đọc lại order/session/ledger/audit và đối chiếu expected; dọn fixture thuộc QA.</t>
  </si>
  <si>
    <t>Người dùng thấy trạng thái có thể xử lý; không đánh PAID sai; log có correlation ID; HTTP/payload TBD khi route đề xuất.</t>
  </si>
  <si>
    <t>BRD fail gracefully; Payment failure</t>
  </si>
  <si>
    <t>Payment gateway sandbox</t>
  </si>
  <si>
    <t>P2-MON-004</t>
  </si>
  <si>
    <t>SLA giám sát và delay escalation</t>
  </si>
  <si>
    <t>1. Xác minh SHA/role/fixture cô lập.
2. Tạo QA ticket đi qua ngưỡng SLA và đọc alert.
3. Đọc lại order/session/ledger/audit và đối chiếu expected; dọn fixture thuộc QA.</t>
  </si>
  <si>
    <t>Alert đúng policy, không gửi lặp; threshold/owner được PO chốt; HTTP/payload TBD khi route đề xuất.</t>
  </si>
  <si>
    <t>BRD System Control &amp; Monitoring</t>
  </si>
  <si>
    <t>Sentry/monitoring &amp; kitchen queue</t>
  </si>
  <si>
    <t>P2-MON-005</t>
  </si>
  <si>
    <t>RBAC regression API nhạy cảm sau thay role</t>
  </si>
  <si>
    <t>1. Xác minh SHA/role/fixture cô lập.
2. Chạy ma trận quyền với role mới và token cũ.
3. Đọc lại order/session/ledger/audit và đối chiếu expected; dọn fixture thuộc QA.</t>
  </si>
  <si>
    <t>Không có privilege escalation; deny không đổi state; audit đủ; HTTP/payload TBD khi route đề xuất.</t>
  </si>
  <si>
    <t>Board Pha 2 Hardening; BRD Permission Matrix</t>
  </si>
  <si>
    <t>Payment/Table/Staff/Rewards writes</t>
  </si>
  <si>
    <t>P2-ORD-001</t>
  </si>
  <si>
    <t>Stale expected_version bị 409 với current_version</t>
  </si>
  <si>
    <t>Order Control Pha 2</t>
  </si>
  <si>
    <t>Order QA cô lập; trạng thái/version và quyền Supervisor được xác minh trước thao tác.</t>
  </si>
  <si>
    <t>1. Xác minh SHA/role/fixture cô lập.
2. Hai client cùng version; một ghi trước, một gửi stale.
3. Đọc lại order/session/ledger/audit và đối chiếu expected; dọn fixture thuộc QA.</t>
  </si>
  <si>
    <t>Request stale không ghi đè; phản hồi current_version theo contract; snapshot/audit đúng; HTTP/payload TBD khi route đề xuất.</t>
  </si>
  <si>
    <t>S2-RFI-02; BE 22/10 Pha 2</t>
  </si>
  <si>
    <t>Order write + expected_version [TBD]</t>
  </si>
  <si>
    <t>Contract: Đề xuất Pha 2; RFI: P2-RFI-VER</t>
  </si>
  <si>
    <t>P2-ORD-002</t>
  </si>
  <si>
    <t>Replay cùng key và version không tạo lần ghi mới</t>
  </si>
  <si>
    <t>1. Xác minh SHA/role/fixture cô lập.
2. Gửi lại cùng key/body sau thành công.
3. Đọc lại order/session/ledger/audit và đối chiếu expected; dọn fixture thuộc QA.</t>
  </si>
  <si>
    <t>Replay cùng result; không tăng version/ticket/audit business lần hai; HTTP/payload TBD khi route đề xuất.</t>
  </si>
  <si>
    <t>S2-RFI-02; Idempotency-Key</t>
  </si>
  <si>
    <t>P2-ORD-003</t>
  </si>
  <si>
    <t>Void món đang nấu yêu cầu PIN Supervisor</t>
  </si>
  <si>
    <t>1. Xác minh SHA/role/fixture cô lập.
2. Thử PIN đúng/sai/thiếu bằng Supervisor, cùng reason.
3. Đọc lại order/session/ledger/audit và đối chiếu expected; dọn fixture thuộc QA.</t>
  </si>
  <si>
    <t>Chỉ PIN hợp lệ mới VOID/CANCELLED; ghi audit, policy lockout chờ PO/BE; HTTP/payload TBD khi route đề xuất.</t>
  </si>
  <si>
    <t>S2-RFI-09; SEC-02 Pha 2</t>
  </si>
  <si>
    <t>POST /orders/{id}/items/{item_id}/void + PIN [TBD]</t>
  </si>
  <si>
    <t>PHASE 2 – BRD ↔ BE API SCOPE &amp; CONTRACT GATE</t>
  </si>
  <si>
    <t>“Đề xuất” trong api-catalog mục D là thiết kế tương lai; không được đánh dấu “Staging/Passed”.</t>
  </si>
  <si>
    <t>API Scope ID</t>
  </si>
  <si>
    <t>Nhóm BRD</t>
  </si>
  <si>
    <t>Phạm vi</t>
  </si>
  <si>
    <t>Contract state</t>
  </si>
  <si>
    <t>Nguồn BRD</t>
  </si>
  <si>
    <t>RFI</t>
  </si>
  <si>
    <t>Mức độ</t>
  </si>
  <si>
    <t>Fixture cần</t>
  </si>
  <si>
    <t>QA next step</t>
  </si>
  <si>
    <t>Số TC</t>
  </si>
  <si>
    <t>TC Passed</t>
  </si>
  <si>
    <t>TC chưa Passed</t>
  </si>
  <si>
    <t>Nguồn API</t>
  </si>
  <si>
    <t>P2 Payment</t>
  </si>
  <si>
    <t>Thanh toán CASH/CARD/QR, callback, thất bại, split bill</t>
  </si>
  <si>
    <t>POST /orders/{id}/payments; GET /orders/{id}/payments; POST /payments/{id}/cancel; POST /payments/webhooks/{provider}; POST /orders/{id}/split-bill</t>
  </si>
  <si>
    <t>Đề xuất Pha 2</t>
  </si>
  <si>
    <t>BRD Payment Processing; Board Pha 2; catalog D</t>
  </si>
  <si>
    <t>P2-RFI-PAY; P2-RFI-SPLIT</t>
  </si>
  <si>
    <t>P0/P1</t>
  </si>
  <si>
    <t>Isolated QA data; roles; sandbox</t>
  </si>
  <si>
    <t>BE cung cấp OpenAPI mới, sample payload/error; QA cập nhật Expected rồi mới chạy</t>
  </si>
  <si>
    <t>Snapshot main không là runtime staging</t>
  </si>
  <si>
    <t>docs/api/api-catalog.md §D; docs/api/openapi.json</t>
  </si>
  <si>
    <t>P2 Table</t>
  </si>
  <si>
    <t>Transfer/Merge/Split; giữ order, KDS, QR, audit</t>
  </si>
  <si>
    <t>BR-TT, BR-MT, BR-SB; catalog D</t>
  </si>
  <si>
    <t>P2-RFI-TABLE</t>
  </si>
  <si>
    <t>P2 Permission</t>
  </si>
  <si>
    <t>Staff CRUD/lock/unlock/reset; PIN/refresh; matrix</t>
  </si>
  <si>
    <t>GET/POST /staff; PATCH /staff/{id}; /lock; /unlock; /reset-password; POST /auth/pin-login; /refresh</t>
  </si>
  <si>
    <t>BRD User &amp; Permission; catalog D</t>
  </si>
  <si>
    <t>P2-RFI-ROLE; P2-RFI-PIN</t>
  </si>
  <si>
    <t>P2 Audit</t>
  </si>
  <si>
    <t>Audit search/filter hiện có; export/report đề xuất</t>
  </si>
  <si>
    <t>GET /api/v1/audit-logs; GET /audit-logs/export [TBD]</t>
  </si>
  <si>
    <t>Pha 1 GET có; export đề xuất</t>
  </si>
  <si>
    <t>BRD Audit &amp; Logging; catalog A7/D</t>
  </si>
  <si>
    <t>P2-RFI-AUD</t>
  </si>
  <si>
    <t>P2 QR</t>
  </si>
  <si>
    <t>Token công khai, menu/cart/order, bill, modifier</t>
  </si>
  <si>
    <t>POST /tables/{id}/qr-session; GET /public/qr/{token}/menu; POST /public/qr/{token}/orders; GET /public/qr/{token}/orders/{id}; POST /public/qr/{token}/request-bill</t>
  </si>
  <si>
    <t>BR-QR-001..010; catalog D</t>
  </si>
  <si>
    <t>P2-RFI-QR; P2-RFI-MOD</t>
  </si>
  <si>
    <t>P2 Rewards</t>
  </si>
  <si>
    <t>Customer, điểm, eligibility, apply/remove, ledger</t>
  </si>
  <si>
    <t>GET/POST /customers; GET /customers/{id}/rewards; POST /orders/{id}/apply-reward; DELETE /orders/{id}/rewards/{reward_id}</t>
  </si>
  <si>
    <t>BRD Rewards; catalog D</t>
  </si>
  <si>
    <t>P2-RFI-RWD</t>
  </si>
  <si>
    <t>P2 Monitoring</t>
  </si>
  <si>
    <t>Sentry staging, permission hardening, basic perf</t>
  </si>
  <si>
    <t>Sentry staging; /health; /ready; /version</t>
  </si>
  <si>
    <t>Giám sát đề xuất; health có</t>
  </si>
  <si>
    <t>BRD Monitoring; Board Pha 2</t>
  </si>
  <si>
    <t>P2-RFI-MON; P2-RFI-PERF</t>
  </si>
  <si>
    <t>P2 Order Control</t>
  </si>
  <si>
    <t>Expected-version và PIN Void theo RFI Sprint 2</t>
  </si>
  <si>
    <t>Order write expected_version [TBD]; POST /orders/{id}/items/{item_id}/void + PIN [TBD]</t>
  </si>
  <si>
    <t>BE phản hồi S2-RFI-02/09 ngày 22/10</t>
  </si>
  <si>
    <t>P2-RFI-VER; P2-RFI-PIN</t>
  </si>
  <si>
    <t>AFG POS | PHASE 2 QA DESIGN DASHBOARD</t>
  </si>
  <si>
    <t>Thiết kế sẵn ≠ business PASS. Mọi testcase còn Not Executed và phụ thuộc contract/fixture của BE/PO.</t>
  </si>
  <si>
    <t>Chỉ số</t>
  </si>
  <si>
    <t>Giá trị</t>
  </si>
  <si>
    <t>Điều kiện</t>
  </si>
  <si>
    <t>Nhóm</t>
  </si>
  <si>
    <t>Thực trạng API</t>
  </si>
  <si>
    <t>Hành động</t>
  </si>
  <si>
    <t>Tổng testcase</t>
  </si>
  <si>
    <t>8 nhóm BRD</t>
  </si>
  <si>
    <t>Payment/Table/User/Audit/QR/Rewards/Monitoring/Order Control</t>
  </si>
  <si>
    <t>Đối chiếu catalog D</t>
  </si>
  <si>
    <t>RFI từng nhóm</t>
  </si>
  <si>
    <t>Passed</t>
  </si>
  <si>
    <t>Chỉ từ Execution Log</t>
  </si>
  <si>
    <t>Không có lượt Phase 2</t>
  </si>
  <si>
    <t>0 từ thiết kế</t>
  </si>
  <si>
    <t>Không suy từ Pha 1</t>
  </si>
  <si>
    <t>Design only</t>
  </si>
  <si>
    <t>API đề xuất</t>
  </si>
  <si>
    <t>Chưa có run</t>
  </si>
  <si>
    <t>Chốt contract/fixture</t>
  </si>
  <si>
    <t>Blocked</t>
  </si>
  <si>
    <t>Chỉ khi có blocker thực thi</t>
  </si>
  <si>
    <t>TBD</t>
  </si>
  <si>
    <t>Không tự gán Failed</t>
  </si>
  <si>
    <t>Ghi blocker + owner</t>
  </si>
  <si>
    <t>Failed</t>
  </si>
  <si>
    <t>Chỉ có run và expected đã chốt</t>
  </si>
  <si>
    <t>Không có</t>
  </si>
  <si>
    <t>Lập defect nếu tái hiện</t>
  </si>
  <si>
    <t>Coverage business</t>
  </si>
  <si>
    <t>Passed/total; không dùng làm “80%”</t>
  </si>
  <si>
    <t>0% khi chưa run</t>
  </si>
  <si>
    <t>Không có business Phase2</t>
  </si>
  <si>
    <t>Chờ BE/PO</t>
  </si>
  <si>
    <t>PHASE 2 EXECUTION LOG – CHỈ GHI RUN THỰC TẾ</t>
  </si>
  <si>
    <t>Chưa chạy business Phase 2. Mỗi run: SHA runtime trước/sau, QA fixture, cleanup và evidence; không lưu secret.</t>
  </si>
  <si>
    <t>Run ID</t>
  </si>
  <si>
    <t>Run Date</t>
  </si>
  <si>
    <t>Environment</t>
  </si>
  <si>
    <t>Build / SHA</t>
  </si>
  <si>
    <t>Tool</t>
  </si>
  <si>
    <t>Test Ref</t>
  </si>
  <si>
    <t>Action</t>
  </si>
  <si>
    <t>Expected HTTP</t>
  </si>
  <si>
    <t>Actual HTTP</t>
  </si>
  <si>
    <t>Result</t>
  </si>
  <si>
    <t>Evidence</t>
  </si>
  <si>
    <t>Tester</t>
  </si>
  <si>
    <t>Note</t>
  </si>
  <si>
    <t>PHASE 2 – OPEN RFI / GAPS / OWNER</t>
  </si>
  <si>
    <t>ID</t>
  </si>
  <si>
    <t>Loại</t>
  </si>
  <si>
    <t>Vấn đề / quyết định cần chốt</t>
  </si>
  <si>
    <t>Nguồn A</t>
  </si>
  <si>
    <t>Nguồn B / Quan sát</t>
  </si>
  <si>
    <t>Tác động QA</t>
  </si>
  <si>
    <t>Quyết định tạm thời</t>
  </si>
  <si>
    <t>Owner</t>
  </si>
  <si>
    <t>TC liên quan</t>
  </si>
  <si>
    <t>Nguồn / Trace</t>
  </si>
  <si>
    <t>Ngày chốt</t>
  </si>
  <si>
    <t>P2-RFI-PAY</t>
  </si>
  <si>
    <t>Payment</t>
  </si>
  <si>
    <t>Gateway/sandbox, CASH/CARD/QR payload, callback signature, failure/UNKNOWN, amount &amp; error codes</t>
  </si>
  <si>
    <t>BRD / POS Rollout Board</t>
  </si>
  <si>
    <t>BE api-catalog §D; OpenAPI main snapshot</t>
  </si>
  <si>
    <t>Expected/HTTP/fixture chưa đủ để business test</t>
  </si>
  <si>
    <t>Design only; không đánh PASS</t>
  </si>
  <si>
    <t>PO + BE + Finance</t>
  </si>
  <si>
    <t>Open</t>
  </si>
  <si>
    <t>P2-PAY-001; P2-PAY-002; P2-PAY-003; P2-PAY-004; P2-PAY-005; P2-PAY-006; P2-PAY-007</t>
  </si>
  <si>
    <t>SRC-BRD; SRC-BOARD; SRC-CATALOG; SRC-OPENAPI</t>
  </si>
  <si>
    <t>Không gán HTTP/PAID cho flow chưa có contract</t>
  </si>
  <si>
    <t>P2-RFI-SPLIT</t>
  </si>
  <si>
    <t>Split Bill</t>
  </si>
  <si>
    <t>Split theo món/khách/amount/% và quy tắc tax, fee, discount, partial pay</t>
  </si>
  <si>
    <t>PO + BE</t>
  </si>
  <si>
    <t>P2-PAY-008; P2-PAY-009; P2-PAY-010</t>
  </si>
  <si>
    <t>BR-SB có rule nhưng endpoint/payload chưa chốt</t>
  </si>
  <si>
    <t>Advanced Table</t>
  </si>
  <si>
    <t>Transfer/Merge/Split route, master_session, conflict/retry, role, capacity, offline</t>
  </si>
  <si>
    <t>P2-TBL-001; P2-TBL-002; P2-TBL-003; P2-TBL-004; P2-TBL-005; P2-TBL-006; P2-TBL-007; P2-TBL-008; P2-TBL-009; P2-TBL-010; P2-TBL-011; P2-TBL-012</t>
  </si>
  <si>
    <t>BR-TT/BR-MT có rule; catalog D chỉ đề xuất</t>
  </si>
  <si>
    <t>P2-RFI-ROLE</t>
  </si>
  <si>
    <t>Permission Matrix BRD mâu thuẫn current API (Create Order POS Waiter, Process Payment Customer, table action Customer); token invalidation</t>
  </si>
  <si>
    <t>PO + BE + Security</t>
  </si>
  <si>
    <t>P2-PAY-011; P2-USR-001; P2-USR-002; P2-USR-003; P2-USR-004; P2-USR-005; P2-USR-007; P2-USR-008; P2-USR-009; P2-MON-005</t>
  </si>
  <si>
    <t>Chốt từng role/action trước expected HTTP</t>
  </si>
  <si>
    <t>P2-RFI-PIN</t>
  </si>
  <si>
    <t>PIN/Lockout</t>
  </si>
  <si>
    <t>PIN Void và pin-login, N lần sai, cooldown, reset/recovery</t>
  </si>
  <si>
    <t>P2-USR-006; P2-ORD-003</t>
  </si>
  <si>
    <t>BE phản hồi 22/10: Pha 2, chưa contract</t>
  </si>
  <si>
    <t>Audit report</t>
  </si>
  <si>
    <t>Export path/format, sort/pagination, retention, immutable proof, PII</t>
  </si>
  <si>
    <t>BE + PO</t>
  </si>
  <si>
    <t>P2-AUD-001; P2-AUD-002; P2-AUD-003; P2-AUD-004; P2-AUD-005</t>
  </si>
  <si>
    <t>GET audit đã có, export chưa</t>
  </si>
  <si>
    <t>P2-RFI-QR</t>
  </si>
  <si>
    <t>QR Token &amp; Security</t>
  </si>
  <si>
    <t>Issuer, TTL/revoke, rate limit, token/table binding, send mode, request bill</t>
  </si>
  <si>
    <t>P2-QR-001; P2-QR-002; P2-QR-003; P2-QR-004; P2-QR-005; P2-QR-006; P2-QR-007; P2-QR-008; P2-QR-009; P2-QR-010; P2-QR-013; P2-QR-014</t>
  </si>
  <si>
    <t>BR-QR có rule; public endpoint chưa code</t>
  </si>
  <si>
    <t>P2-RFI-MOD</t>
  </si>
  <si>
    <t>Modifier</t>
  </si>
  <si>
    <t>Schema, price, station split, availability, POS/QR consistency</t>
  </si>
  <si>
    <t>P2-QR-011; P2-QR-012</t>
  </si>
  <si>
    <t>Menu đầy đủ Pha 3 nhưng modifier cơ bản xếp Pha 2; cần chốt ranh giới</t>
  </si>
  <si>
    <t>Rewards</t>
  </si>
  <si>
    <t>Earn/redeem ratio, expiry, eligibility, cap, reversal/refund, PII, per-outlet</t>
  </si>
  <si>
    <t>P2-RWD-001; P2-RWD-002; P2-RWD-003; P2-RWD-004; P2-RWD-005; P2-RWD-006; P2-RWD-007; P2-RWD-008; P2-RWD-009; P2-RWD-010; P2-RWD-011</t>
  </si>
  <si>
    <t>BRD phần chi tiết Rewards còn trống</t>
  </si>
  <si>
    <t>P2-RFI-MON</t>
  </si>
  <si>
    <t>Monitoring</t>
  </si>
  <si>
    <t>Sentry DSN staging, alert thresholds/owner, redaction, retention</t>
  </si>
  <si>
    <t>P2-MON-001; P2-MON-002; P2-MON-003; P2-MON-004</t>
  </si>
  <si>
    <t>Không gửi lỗi thật/secret khi test</t>
  </si>
  <si>
    <t>P2-RFI-PERF</t>
  </si>
  <si>
    <t>QR ≤30s: start/end và môi trường đo; sync ≤2s; payment timeout 3s</t>
  </si>
  <si>
    <t>PO + QA + BE</t>
  </si>
  <si>
    <t>Không kết luận chỉ từ unit/preflight</t>
  </si>
  <si>
    <t>P2-RFI-VER</t>
  </si>
  <si>
    <t>Version Conflict</t>
  </si>
  <si>
    <t>expected_version ở write nào, 409 shape/current_version, retry with key</t>
  </si>
  <si>
    <t>P2-ORD-001; P2-ORD-002</t>
  </si>
  <si>
    <t>BE 22/10: Pha 2 nếu SRS bắt buộc</t>
  </si>
  <si>
    <t>P2-RFI-SCOPE</t>
  </si>
  <si>
    <t>Phạm vi Phase 2</t>
  </si>
  <si>
    <t>E-invoice/ERP và Menu full Pha 3, offline stub; QR/Rewards Pha 2</t>
  </si>
  <si>
    <t>PO</t>
  </si>
  <si>
    <t/>
  </si>
  <si>
    <t>Không kéo tính năng Pha 3 vào Passed Pha 2</t>
  </si>
  <si>
    <t>SOURCE BASELINE – PHASE 2 TEST DESIGN</t>
  </si>
  <si>
    <t>Mã nguồn</t>
  </si>
  <si>
    <t>Tên nguồn</t>
  </si>
  <si>
    <t>Phiên bản / thời điểm</t>
  </si>
  <si>
    <t>URL / File</t>
  </si>
  <si>
    <t>Lưu ý</t>
  </si>
  <si>
    <t>SRC-BRD</t>
  </si>
  <si>
    <t>Pos System BRD(2).docx</t>
  </si>
  <si>
    <t>Library user upload 18/10/2026</t>
  </si>
  <si>
    <t>Requirement</t>
  </si>
  <si>
    <t>Primary</t>
  </si>
  <si>
    <t>BR-QR-001..010, BR-MT-001..014, BR-SB-001..014, BR-TT-001..014; Payment/Rewards detail còn ô trống</t>
  </si>
  <si>
    <t>SRC-BOARD</t>
  </si>
  <si>
    <t>POS Rollout Board – Đối chiếu phạm vi BRD</t>
  </si>
  <si>
    <t>Claude artifact, đọc 25/10/2026</t>
  </si>
  <si>
    <t>Roadmap</t>
  </si>
  <si>
    <t>https://claude.ai/artifact/DX5FYqW11NpTxJkcqHY3H3</t>
  </si>
  <si>
    <t>Planning</t>
  </si>
  <si>
    <t>Pha 2 Sprint 3–4: Payment, Table advanced, User/Permission, Audit report, QR, Rewards, Sentry</t>
  </si>
  <si>
    <t>SRC-CATALOG</t>
  </si>
  <si>
    <t>BE API Catalog §A7/§D</t>
  </si>
  <si>
    <t>Git main sha 597dd8e3ef8648c48a0cab32ce97e102550dabf2</t>
  </si>
  <si>
    <t>BE Proposal</t>
  </si>
  <si>
    <t>https://github.com/Mouse-hybrid/DU-AN-THUC-TAP/blob/main/docs/api/api-catalog.md</t>
  </si>
  <si>
    <t>Proposal + existing</t>
  </si>
  <si>
    <t>§D đánh dấu API Pha 2–3 là đề xuất, không coi như đã deploy</t>
  </si>
  <si>
    <t>SRC-OPENAPI</t>
  </si>
  <si>
    <t>BE OpenAPI main</t>
  </si>
  <si>
    <t>Git main sha 65a264a489f857ca0ef289b8af73dc772fdbef56</t>
  </si>
  <si>
    <t>BE Contract</t>
  </si>
  <si>
    <t>https://github.com/Mouse-hybrid/DU-AN-THUC-TAP/blob/main/docs/api/openapi.json</t>
  </si>
  <si>
    <t>Snapshot contract</t>
  </si>
  <si>
    <t>Không có nhóm public QR/Rewards/payment methods/table advanced; chưa kiểm runtime staging</t>
  </si>
  <si>
    <t>SRC-BE-RFI</t>
  </si>
  <si>
    <t>BE phản hồi Sprint 2 RFI</t>
  </si>
  <si>
    <t>22/10/2026; người dùng cung cấp</t>
  </si>
  <si>
    <t>Decision provisional</t>
  </si>
  <si>
    <t>S2-RFI-02/09/10 (hội thoại QA)</t>
  </si>
  <si>
    <t>Pending PO</t>
  </si>
  <si>
    <t>Expected_version, PIN Void, transfer/merge/split chuyển Pha 2; cần contract cụ thể</t>
  </si>
  <si>
    <t>SRC-TPL</t>
  </si>
  <si>
    <t>AFG_POS_QAQC_116_phase1_2026-10-22_updated.xlsx</t>
  </si>
  <si>
    <t>User Library 22/10/2026</t>
  </si>
  <si>
    <t>QA template</t>
  </si>
  <si>
    <t>Format</t>
  </si>
  <si>
    <t>Giữ 21 cột Test Cases, 13 cột Execution Log, RFI/API Scope/Dashboard</t>
  </si>
  <si>
    <t>PHASE 2 FIXTURE &amp; ROLE PLAN – KHÔNG LƯU SECRET</t>
  </si>
  <si>
    <t>Dữ liệu / Vai trò</t>
  </si>
  <si>
    <t>Nguồn</t>
  </si>
  <si>
    <t>Điều kiện mở</t>
  </si>
  <si>
    <t>Cleanup / Rủi ro</t>
  </si>
  <si>
    <t>Staging, khóa SHA trước/sau</t>
  </si>
  <si>
    <t>GET /version</t>
  </si>
  <si>
    <t>BE xác nhận build Phase2</t>
  </si>
  <si>
    <t>Không dùng production hay reset toàn bộ</t>
  </si>
  <si>
    <t>Accounts</t>
  </si>
  <si>
    <t>SUPERVISOR, CASHIER, WAITER, KITCHEN, QR public</t>
  </si>
  <si>
    <t>BRD Permission Matrix + seed</t>
  </si>
  <si>
    <t>BE cấp QA role matrix &amp; outlet</t>
  </si>
  <si>
    <t>Không ghi JWT/PIN/password</t>
  </si>
  <si>
    <t>Tables</t>
  </si>
  <si>
    <t>2–3 bàn QA AVAILABLE + isolated sessions</t>
  </si>
  <si>
    <t>BE seed / ownership</t>
  </si>
  <si>
    <t>Owner và fixture book lịch test</t>
  </si>
  <si>
    <t>Chỉ cleanup phiên thuộc QA</t>
  </si>
  <si>
    <t>Gateway sandbox CASH/CARD/QR; success/fail/duplicate callbacks</t>
  </si>
  <si>
    <t>BE + provider</t>
  </si>
  <si>
    <t>Ký test credentials &amp; callback sandbox</t>
  </si>
  <si>
    <t>Không dùng thẻ/tiền thật</t>
  </si>
  <si>
    <t>QR</t>
  </si>
  <si>
    <t>QR token theo table/session, TTL/revoke, menu modifier</t>
  </si>
  <si>
    <t>BE Phase2</t>
  </si>
  <si>
    <t>Token fixture và abuse guard</t>
  </si>
  <si>
    <t>Hủy token/QA order sau run</t>
  </si>
  <si>
    <t>Customer QA, phone giả, ledger/reward đủ và thiếu</t>
  </si>
  <si>
    <t>Luật earn/redeem/cap/refund</t>
  </si>
  <si>
    <t>Không dùng SĐT thật; đảo QA points</t>
  </si>
  <si>
    <t>Audit/Monitoring</t>
  </si>
  <si>
    <t>Synthetic QA action/error &amp; correlation ID</t>
  </si>
  <si>
    <t>BE/Sentry staging</t>
  </si>
  <si>
    <t>Quyền đọc và redaction policy</t>
  </si>
  <si>
    <t>Không gửi secret vào telemetry</t>
  </si>
  <si>
    <t>2 clients/keys trên cùng QA entity</t>
  </si>
  <si>
    <t>QA</t>
  </si>
  <si>
    <t>Barrier/script và expected_version</t>
  </si>
  <si>
    <t>Không dùng entity người khác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</si>
</sst>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26">
    <font>
      <sz val="11"/>
      <name val="Carlito"/>
      <charset val="134"/>
    </font>
    <font>
      <b/>
      <sz val="15"/>
      <color rgb="FFFFFFFF"/>
      <name val="Aptos"/>
      <charset val="134"/>
    </font>
    <font>
      <b/>
      <sz val="11"/>
      <color rgb="FFFFFFFF"/>
      <name val="Aptos"/>
      <charset val="134"/>
    </font>
    <font>
      <sz val="10"/>
      <color rgb="FF142E3B"/>
      <name val="Aptos"/>
      <charset val="134"/>
    </font>
    <font>
      <b/>
      <sz val="11"/>
      <color rgb="FF142E3B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42E3B"/>
        <bgColor indexed="64"/>
      </patternFill>
    </fill>
    <fill>
      <patternFill patternType="solid">
        <fgColor rgb="FF0C6559"/>
        <bgColor indexed="64"/>
      </patternFill>
    </fill>
    <fill>
      <patternFill patternType="solid">
        <fgColor rgb="FFFFF0D6"/>
        <bgColor indexed="64"/>
      </patternFill>
    </fill>
    <fill>
      <patternFill patternType="solid">
        <fgColor rgb="FFFFF9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6E0E2"/>
      </left>
      <right style="thin">
        <color rgb="FFD6E0E2"/>
      </right>
      <top style="thin">
        <color rgb="FFD6E0E2"/>
      </top>
      <bottom style="thin">
        <color rgb="FFD6E0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/>
    <xf numFmtId="0" fontId="0" fillId="5" borderId="1" xfId="0" applyNumberFormat="1" applyFont="1" applyFill="1" applyBorder="1"/>
    <xf numFmtId="178" fontId="3" fillId="0" borderId="1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center" wrapText="1"/>
    </xf>
    <xf numFmtId="0" fontId="4" fillId="4" borderId="0" xfId="0" applyNumberFormat="1" applyFont="1" applyFill="1" applyBorder="1" applyAlignment="1">
      <alignment wrapText="1"/>
    </xf>
    <xf numFmtId="0" fontId="3" fillId="5" borderId="1" xfId="0" applyNumberFormat="1" applyFont="1" applyFill="1" applyBorder="1" applyAlignment="1">
      <alignment vertical="top" wrapText="1"/>
    </xf>
    <xf numFmtId="0" fontId="5" fillId="3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:F1"/>
    </sheetView>
  </sheetViews>
  <sheetFormatPr defaultColWidth="9" defaultRowHeight="13.8" outlineLevelCol="5"/>
  <cols>
    <col min="1" max="1" width="25.5583333333333" customWidth="1"/>
    <col min="2" max="2" width="102.216666666667" customWidth="1"/>
    <col min="3" max="6" width="10" customWidth="1"/>
  </cols>
  <sheetData>
    <row r="1" ht="25.5" customHeight="1" spans="1:6">
      <c r="A1" s="1" t="s">
        <v>0</v>
      </c>
      <c r="B1" s="1"/>
      <c r="C1" s="1"/>
      <c r="D1" s="1"/>
      <c r="E1" s="1"/>
      <c r="F1" s="1"/>
    </row>
    <row r="3" ht="21" customHeight="1" spans="1:6">
      <c r="A3" s="10" t="s">
        <v>1</v>
      </c>
      <c r="B3" s="10" t="s">
        <v>2</v>
      </c>
    </row>
    <row r="4" ht="57" customHeight="1" spans="1:6">
      <c r="A4" s="3" t="s">
        <v>3</v>
      </c>
      <c r="B4" s="3" t="s">
        <v>4</v>
      </c>
    </row>
    <row r="5" ht="57" customHeight="1" spans="1:6">
      <c r="A5" s="3" t="s">
        <v>5</v>
      </c>
      <c r="B5" s="3" t="s">
        <v>6</v>
      </c>
    </row>
    <row r="6" ht="57" customHeight="1" spans="1:6">
      <c r="A6" s="3" t="s">
        <v>7</v>
      </c>
      <c r="B6" s="3" t="s">
        <v>8</v>
      </c>
    </row>
    <row r="7" ht="57" customHeight="1" spans="1:6">
      <c r="A7" s="3" t="s">
        <v>9</v>
      </c>
      <c r="B7" s="3" t="s">
        <v>10</v>
      </c>
    </row>
    <row r="8" ht="57" customHeight="1" spans="1:6">
      <c r="A8" s="3" t="s">
        <v>11</v>
      </c>
      <c r="B8" s="3" t="s">
        <v>12</v>
      </c>
    </row>
    <row r="9" ht="57" customHeight="1" spans="1:6">
      <c r="A9" s="3" t="s">
        <v>13</v>
      </c>
      <c r="B9" s="3" t="s">
        <v>14</v>
      </c>
    </row>
    <row r="10" ht="57" customHeight="1" spans="1:6">
      <c r="A10" s="3" t="s">
        <v>15</v>
      </c>
      <c r="B10" s="3" t="s">
        <v>16</v>
      </c>
    </row>
    <row r="11" ht="57" customHeight="1" spans="1:6">
      <c r="A11" s="3" t="s">
        <v>17</v>
      </c>
      <c r="B11" s="3" t="s">
        <v>18</v>
      </c>
    </row>
    <row r="12" ht="57" customHeight="1" spans="1:6">
      <c r="A12" s="3" t="s">
        <v>19</v>
      </c>
      <c r="B12" s="3" t="s">
        <v>20</v>
      </c>
    </row>
    <row r="13" ht="57" customHeight="1" spans="1:6">
      <c r="A13" s="3" t="s">
        <v>21</v>
      </c>
      <c r="B13" s="3" t="s">
        <v>22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4"/>
  <sheetViews>
    <sheetView tabSelected="1" topLeftCell="A70" workbookViewId="0">
      <pane xSplit="1" topLeftCell="B1" activePane="topRight" state="frozen"/>
      <selection/>
      <selection pane="topRight" activeCell="D71" sqref="D71"/>
    </sheetView>
  </sheetViews>
  <sheetFormatPr defaultColWidth="9" defaultRowHeight="13.8"/>
  <cols>
    <col min="1" max="1" width="14.4416666666667" customWidth="1"/>
    <col min="2" max="2" width="31.6666666666667" customWidth="1"/>
    <col min="3" max="3" width="22.7833333333333" customWidth="1"/>
    <col min="4" max="4" width="11.1083333333333" customWidth="1"/>
    <col min="5" max="5" width="10" customWidth="1"/>
    <col min="6" max="6" width="12.2166666666667" customWidth="1"/>
    <col min="7" max="7" width="32.7833333333333" customWidth="1"/>
    <col min="8" max="8" width="42.7833333333333" customWidth="1"/>
    <col min="9" max="9" width="22.7833333333333" customWidth="1"/>
    <col min="10" max="10" width="45" customWidth="1"/>
    <col min="11" max="11" width="24.4416666666667" customWidth="1"/>
    <col min="12" max="12" width="13.8916666666667" customWidth="1"/>
    <col min="13" max="13" width="13.3333333333333" customWidth="1"/>
    <col min="14" max="14" width="17.7833333333333" customWidth="1"/>
    <col min="15" max="15" width="27.2166666666667" customWidth="1"/>
    <col min="16" max="16" width="12.2166666666667" customWidth="1"/>
    <col min="17" max="17" width="27.2166666666667" customWidth="1"/>
    <col min="18" max="18" width="36.1083333333333" customWidth="1"/>
    <col min="19" max="19" width="20" customWidth="1"/>
    <col min="20" max="20" width="35.5583333333333" customWidth="1"/>
    <col min="21" max="21" width="27.2166666666667" customWidth="1"/>
  </cols>
  <sheetData>
    <row r="1" ht="25.5" customHeight="1" spans="1:2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ht="21" customHeight="1" spans="1:21">
      <c r="A2" s="8" t="s">
        <v>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ht="37.5" customHeight="1" spans="1:21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 t="s">
        <v>42</v>
      </c>
      <c r="S3" s="2" t="s">
        <v>43</v>
      </c>
      <c r="T3" s="2" t="s">
        <v>44</v>
      </c>
      <c r="U3" s="2" t="s">
        <v>45</v>
      </c>
    </row>
    <row r="4" ht="57" customHeight="1" spans="1:21">
      <c r="A4" s="3" t="s">
        <v>46</v>
      </c>
      <c r="B4" s="3" t="s">
        <v>47</v>
      </c>
      <c r="C4" s="3" t="s">
        <v>48</v>
      </c>
      <c r="D4" s="3" t="s">
        <v>49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9"/>
      <c r="L4" s="9" t="s">
        <v>55</v>
      </c>
      <c r="M4" s="3"/>
      <c r="N4" s="3"/>
      <c r="O4" s="3" t="s">
        <v>56</v>
      </c>
      <c r="P4" s="3" t="s">
        <v>57</v>
      </c>
      <c r="Q4" s="3" t="s">
        <v>58</v>
      </c>
      <c r="R4" s="3" t="s">
        <v>59</v>
      </c>
      <c r="S4" s="3" t="s">
        <v>60</v>
      </c>
      <c r="T4" s="3" t="s">
        <v>61</v>
      </c>
      <c r="U4" s="3" t="s">
        <v>62</v>
      </c>
    </row>
    <row r="5" ht="57" customHeight="1" spans="1:21">
      <c r="A5" s="3" t="s">
        <v>63</v>
      </c>
      <c r="B5" s="3" t="s">
        <v>64</v>
      </c>
      <c r="C5" s="3" t="s">
        <v>48</v>
      </c>
      <c r="D5" s="3" t="s">
        <v>49</v>
      </c>
      <c r="E5" s="3" t="s">
        <v>49</v>
      </c>
      <c r="F5" s="3" t="s">
        <v>65</v>
      </c>
      <c r="G5" s="3" t="s">
        <v>51</v>
      </c>
      <c r="H5" s="3" t="s">
        <v>66</v>
      </c>
      <c r="I5" s="3" t="s">
        <v>67</v>
      </c>
      <c r="J5" s="3" t="s">
        <v>68</v>
      </c>
      <c r="K5" s="9"/>
      <c r="L5" s="9" t="s">
        <v>55</v>
      </c>
      <c r="M5" s="3"/>
      <c r="N5" s="3"/>
      <c r="O5" s="3" t="s">
        <v>69</v>
      </c>
      <c r="P5" s="3" t="s">
        <v>57</v>
      </c>
      <c r="Q5" s="3" t="s">
        <v>58</v>
      </c>
      <c r="R5" s="3" t="s">
        <v>59</v>
      </c>
      <c r="S5" s="3" t="s">
        <v>60</v>
      </c>
      <c r="T5" s="3" t="s">
        <v>61</v>
      </c>
      <c r="U5" s="3" t="s">
        <v>62</v>
      </c>
    </row>
    <row r="6" ht="57" customHeight="1" spans="1:21">
      <c r="A6" s="3" t="s">
        <v>70</v>
      </c>
      <c r="B6" s="3" t="s">
        <v>71</v>
      </c>
      <c r="C6" s="3" t="s">
        <v>48</v>
      </c>
      <c r="D6" s="3" t="s">
        <v>49</v>
      </c>
      <c r="E6" s="3" t="s">
        <v>49</v>
      </c>
      <c r="F6" s="3" t="s">
        <v>65</v>
      </c>
      <c r="G6" s="3" t="s">
        <v>51</v>
      </c>
      <c r="H6" s="3" t="s">
        <v>72</v>
      </c>
      <c r="I6" s="3" t="s">
        <v>73</v>
      </c>
      <c r="J6" s="3" t="s">
        <v>74</v>
      </c>
      <c r="K6" s="9"/>
      <c r="L6" s="9" t="s">
        <v>55</v>
      </c>
      <c r="M6" s="3"/>
      <c r="N6" s="3"/>
      <c r="O6" s="3" t="s">
        <v>69</v>
      </c>
      <c r="P6" s="3" t="s">
        <v>57</v>
      </c>
      <c r="Q6" s="3" t="s">
        <v>58</v>
      </c>
      <c r="R6" s="3" t="s">
        <v>59</v>
      </c>
      <c r="S6" s="3" t="s">
        <v>60</v>
      </c>
      <c r="T6" s="3" t="s">
        <v>61</v>
      </c>
      <c r="U6" s="3" t="s">
        <v>62</v>
      </c>
    </row>
    <row r="7" ht="57" customHeight="1" spans="1:21">
      <c r="A7" s="3" t="s">
        <v>75</v>
      </c>
      <c r="B7" s="3" t="s">
        <v>76</v>
      </c>
      <c r="C7" s="3" t="s">
        <v>48</v>
      </c>
      <c r="D7" s="3" t="s">
        <v>49</v>
      </c>
      <c r="E7" s="3" t="s">
        <v>49</v>
      </c>
      <c r="F7" s="3" t="s">
        <v>77</v>
      </c>
      <c r="G7" s="3" t="s">
        <v>51</v>
      </c>
      <c r="H7" s="3" t="s">
        <v>78</v>
      </c>
      <c r="I7" s="3" t="s">
        <v>79</v>
      </c>
      <c r="J7" s="3" t="s">
        <v>80</v>
      </c>
      <c r="K7" s="9"/>
      <c r="L7" s="9" t="s">
        <v>55</v>
      </c>
      <c r="M7" s="3"/>
      <c r="N7" s="3"/>
      <c r="O7" s="3" t="s">
        <v>81</v>
      </c>
      <c r="P7" s="3" t="s">
        <v>57</v>
      </c>
      <c r="Q7" s="3" t="s">
        <v>58</v>
      </c>
      <c r="R7" s="3" t="s">
        <v>59</v>
      </c>
      <c r="S7" s="3" t="s">
        <v>60</v>
      </c>
      <c r="T7" s="3" t="s">
        <v>61</v>
      </c>
      <c r="U7" s="3" t="s">
        <v>62</v>
      </c>
    </row>
    <row r="8" ht="57" customHeight="1" spans="1:21">
      <c r="A8" s="3" t="s">
        <v>82</v>
      </c>
      <c r="B8" s="3" t="s">
        <v>83</v>
      </c>
      <c r="C8" s="3" t="s">
        <v>48</v>
      </c>
      <c r="D8" s="3" t="s">
        <v>49</v>
      </c>
      <c r="E8" s="3" t="s">
        <v>49</v>
      </c>
      <c r="F8" s="3" t="s">
        <v>84</v>
      </c>
      <c r="G8" s="3" t="s">
        <v>51</v>
      </c>
      <c r="H8" s="3" t="s">
        <v>85</v>
      </c>
      <c r="I8" s="3" t="s">
        <v>86</v>
      </c>
      <c r="J8" s="3" t="s">
        <v>87</v>
      </c>
      <c r="K8" s="9"/>
      <c r="L8" s="9" t="s">
        <v>55</v>
      </c>
      <c r="M8" s="3"/>
      <c r="N8" s="3"/>
      <c r="O8" s="3" t="s">
        <v>88</v>
      </c>
      <c r="P8" s="3" t="s">
        <v>57</v>
      </c>
      <c r="Q8" s="3" t="s">
        <v>58</v>
      </c>
      <c r="R8" s="3" t="s">
        <v>89</v>
      </c>
      <c r="S8" s="3" t="s">
        <v>60</v>
      </c>
      <c r="T8" s="3" t="s">
        <v>61</v>
      </c>
      <c r="U8" s="3" t="s">
        <v>62</v>
      </c>
    </row>
    <row r="9" ht="57" customHeight="1" spans="1:21">
      <c r="A9" s="3" t="s">
        <v>90</v>
      </c>
      <c r="B9" s="3" t="s">
        <v>91</v>
      </c>
      <c r="C9" s="3" t="s">
        <v>48</v>
      </c>
      <c r="D9" s="3" t="s">
        <v>49</v>
      </c>
      <c r="E9" s="3" t="s">
        <v>49</v>
      </c>
      <c r="F9" s="3" t="s">
        <v>92</v>
      </c>
      <c r="G9" s="3" t="s">
        <v>51</v>
      </c>
      <c r="H9" s="3" t="s">
        <v>93</v>
      </c>
      <c r="I9" s="3" t="s">
        <v>94</v>
      </c>
      <c r="J9" s="3" t="s">
        <v>95</v>
      </c>
      <c r="K9" s="9"/>
      <c r="L9" s="9" t="s">
        <v>55</v>
      </c>
      <c r="M9" s="3"/>
      <c r="N9" s="3"/>
      <c r="O9" s="3" t="s">
        <v>96</v>
      </c>
      <c r="P9" s="3" t="s">
        <v>57</v>
      </c>
      <c r="Q9" s="3" t="s">
        <v>58</v>
      </c>
      <c r="R9" s="3" t="s">
        <v>89</v>
      </c>
      <c r="S9" s="3" t="s">
        <v>60</v>
      </c>
      <c r="T9" s="3" t="s">
        <v>61</v>
      </c>
      <c r="U9" s="3" t="s">
        <v>62</v>
      </c>
    </row>
    <row r="10" ht="57" customHeight="1" spans="1:21">
      <c r="A10" s="3" t="s">
        <v>97</v>
      </c>
      <c r="B10" s="3" t="s">
        <v>98</v>
      </c>
      <c r="C10" s="3" t="s">
        <v>48</v>
      </c>
      <c r="D10" s="3" t="s">
        <v>99</v>
      </c>
      <c r="E10" s="3" t="s">
        <v>99</v>
      </c>
      <c r="F10" s="3" t="s">
        <v>100</v>
      </c>
      <c r="G10" s="3" t="s">
        <v>51</v>
      </c>
      <c r="H10" s="3" t="s">
        <v>101</v>
      </c>
      <c r="I10" s="3" t="s">
        <v>102</v>
      </c>
      <c r="J10" s="3" t="s">
        <v>103</v>
      </c>
      <c r="K10" s="9"/>
      <c r="L10" s="9" t="s">
        <v>55</v>
      </c>
      <c r="M10" s="3"/>
      <c r="N10" s="3"/>
      <c r="O10" s="3" t="s">
        <v>69</v>
      </c>
      <c r="P10" s="3" t="s">
        <v>57</v>
      </c>
      <c r="Q10" s="3" t="s">
        <v>58</v>
      </c>
      <c r="R10" s="3" t="s">
        <v>59</v>
      </c>
      <c r="S10" s="3" t="s">
        <v>60</v>
      </c>
      <c r="T10" s="3" t="s">
        <v>61</v>
      </c>
      <c r="U10" s="3" t="s">
        <v>62</v>
      </c>
    </row>
    <row r="11" ht="57" customHeight="1" spans="1:21">
      <c r="A11" s="3" t="s">
        <v>104</v>
      </c>
      <c r="B11" s="3" t="s">
        <v>105</v>
      </c>
      <c r="C11" s="3" t="s">
        <v>48</v>
      </c>
      <c r="D11" s="3" t="s">
        <v>49</v>
      </c>
      <c r="E11" s="3" t="s">
        <v>49</v>
      </c>
      <c r="F11" s="3" t="s">
        <v>50</v>
      </c>
      <c r="G11" s="3" t="s">
        <v>51</v>
      </c>
      <c r="H11" s="3" t="s">
        <v>106</v>
      </c>
      <c r="I11" s="3" t="s">
        <v>107</v>
      </c>
      <c r="J11" s="3" t="s">
        <v>108</v>
      </c>
      <c r="K11" s="9"/>
      <c r="L11" s="9" t="s">
        <v>55</v>
      </c>
      <c r="M11" s="3"/>
      <c r="N11" s="3"/>
      <c r="O11" s="3" t="s">
        <v>109</v>
      </c>
      <c r="P11" s="3" t="s">
        <v>57</v>
      </c>
      <c r="Q11" s="3" t="s">
        <v>58</v>
      </c>
      <c r="R11" s="3" t="s">
        <v>110</v>
      </c>
      <c r="S11" s="3" t="s">
        <v>60</v>
      </c>
      <c r="T11" s="3" t="s">
        <v>61</v>
      </c>
      <c r="U11" s="3" t="s">
        <v>111</v>
      </c>
    </row>
    <row r="12" ht="57" customHeight="1" spans="1:21">
      <c r="A12" s="3" t="s">
        <v>112</v>
      </c>
      <c r="B12" s="3" t="s">
        <v>113</v>
      </c>
      <c r="C12" s="3" t="s">
        <v>48</v>
      </c>
      <c r="D12" s="3" t="s">
        <v>99</v>
      </c>
      <c r="E12" s="3" t="s">
        <v>99</v>
      </c>
      <c r="F12" s="3" t="s">
        <v>77</v>
      </c>
      <c r="G12" s="3" t="s">
        <v>51</v>
      </c>
      <c r="H12" s="3" t="s">
        <v>114</v>
      </c>
      <c r="I12" s="3" t="s">
        <v>115</v>
      </c>
      <c r="J12" s="3" t="s">
        <v>116</v>
      </c>
      <c r="K12" s="9"/>
      <c r="L12" s="9" t="s">
        <v>55</v>
      </c>
      <c r="M12" s="3"/>
      <c r="N12" s="3"/>
      <c r="O12" s="3" t="s">
        <v>117</v>
      </c>
      <c r="P12" s="3" t="s">
        <v>57</v>
      </c>
      <c r="Q12" s="3" t="s">
        <v>58</v>
      </c>
      <c r="R12" s="3" t="s">
        <v>110</v>
      </c>
      <c r="S12" s="3" t="s">
        <v>60</v>
      </c>
      <c r="T12" s="3" t="s">
        <v>61</v>
      </c>
      <c r="U12" s="3" t="s">
        <v>111</v>
      </c>
    </row>
    <row r="13" ht="57" customHeight="1" spans="1:21">
      <c r="A13" s="3" t="s">
        <v>118</v>
      </c>
      <c r="B13" s="3" t="s">
        <v>119</v>
      </c>
      <c r="C13" s="3" t="s">
        <v>48</v>
      </c>
      <c r="D13" s="3" t="s">
        <v>99</v>
      </c>
      <c r="E13" s="3" t="s">
        <v>99</v>
      </c>
      <c r="F13" s="3" t="s">
        <v>120</v>
      </c>
      <c r="G13" s="3" t="s">
        <v>51</v>
      </c>
      <c r="H13" s="3" t="s">
        <v>121</v>
      </c>
      <c r="I13" s="3" t="s">
        <v>122</v>
      </c>
      <c r="J13" s="3" t="s">
        <v>123</v>
      </c>
      <c r="K13" s="9"/>
      <c r="L13" s="9" t="s">
        <v>55</v>
      </c>
      <c r="M13" s="3"/>
      <c r="N13" s="3"/>
      <c r="O13" s="3" t="s">
        <v>124</v>
      </c>
      <c r="P13" s="3" t="s">
        <v>57</v>
      </c>
      <c r="Q13" s="3" t="s">
        <v>58</v>
      </c>
      <c r="R13" s="3" t="s">
        <v>110</v>
      </c>
      <c r="S13" s="3" t="s">
        <v>60</v>
      </c>
      <c r="T13" s="3" t="s">
        <v>61</v>
      </c>
      <c r="U13" s="3" t="s">
        <v>111</v>
      </c>
    </row>
    <row r="14" ht="66" spans="1:21">
      <c r="A14" s="3" t="s">
        <v>125</v>
      </c>
      <c r="B14" s="3" t="s">
        <v>126</v>
      </c>
      <c r="C14" s="3" t="s">
        <v>48</v>
      </c>
      <c r="D14" s="3" t="s">
        <v>49</v>
      </c>
      <c r="E14" s="3" t="s">
        <v>49</v>
      </c>
      <c r="F14" s="3" t="s">
        <v>127</v>
      </c>
      <c r="G14" s="3" t="s">
        <v>51</v>
      </c>
      <c r="H14" s="3" t="s">
        <v>128</v>
      </c>
      <c r="I14" s="3" t="s">
        <v>129</v>
      </c>
      <c r="J14" s="3" t="s">
        <v>130</v>
      </c>
      <c r="K14" s="9"/>
      <c r="L14" s="9" t="s">
        <v>55</v>
      </c>
      <c r="M14" s="3"/>
      <c r="N14" s="3"/>
      <c r="O14" s="3" t="s">
        <v>131</v>
      </c>
      <c r="P14" s="3" t="s">
        <v>57</v>
      </c>
      <c r="Q14" s="3" t="s">
        <v>58</v>
      </c>
      <c r="R14" s="3" t="s">
        <v>59</v>
      </c>
      <c r="S14" s="3" t="s">
        <v>60</v>
      </c>
      <c r="T14" s="3" t="s">
        <v>61</v>
      </c>
      <c r="U14" s="3" t="s">
        <v>132</v>
      </c>
    </row>
    <row r="15" ht="66" spans="1:21">
      <c r="A15" s="3" t="s">
        <v>133</v>
      </c>
      <c r="B15" s="3" t="s">
        <v>134</v>
      </c>
      <c r="C15" s="3" t="s">
        <v>135</v>
      </c>
      <c r="D15" s="3" t="s">
        <v>49</v>
      </c>
      <c r="E15" s="3" t="s">
        <v>49</v>
      </c>
      <c r="F15" s="3" t="s">
        <v>50</v>
      </c>
      <c r="G15" s="3" t="s">
        <v>136</v>
      </c>
      <c r="H15" s="3" t="s">
        <v>137</v>
      </c>
      <c r="I15" s="3" t="s">
        <v>138</v>
      </c>
      <c r="J15" s="3" t="s">
        <v>139</v>
      </c>
      <c r="K15" s="9"/>
      <c r="L15" s="9" t="s">
        <v>55</v>
      </c>
      <c r="M15" s="3"/>
      <c r="N15" s="3"/>
      <c r="O15" s="3" t="s">
        <v>140</v>
      </c>
      <c r="P15" s="3" t="s">
        <v>57</v>
      </c>
      <c r="Q15" s="3" t="s">
        <v>58</v>
      </c>
      <c r="R15" s="3" t="s">
        <v>141</v>
      </c>
      <c r="S15" s="3" t="s">
        <v>60</v>
      </c>
      <c r="T15" s="3" t="s">
        <v>61</v>
      </c>
      <c r="U15" s="3" t="s">
        <v>142</v>
      </c>
    </row>
    <row r="16" ht="52.8" spans="1:21">
      <c r="A16" s="3" t="s">
        <v>143</v>
      </c>
      <c r="B16" s="3" t="s">
        <v>144</v>
      </c>
      <c r="C16" s="3" t="s">
        <v>135</v>
      </c>
      <c r="D16" s="3" t="s">
        <v>49</v>
      </c>
      <c r="E16" s="3" t="s">
        <v>49</v>
      </c>
      <c r="F16" s="3" t="s">
        <v>77</v>
      </c>
      <c r="G16" s="3" t="s">
        <v>136</v>
      </c>
      <c r="H16" s="3" t="s">
        <v>145</v>
      </c>
      <c r="I16" s="3" t="s">
        <v>138</v>
      </c>
      <c r="J16" s="3" t="s">
        <v>146</v>
      </c>
      <c r="K16" s="9"/>
      <c r="L16" s="9" t="s">
        <v>55</v>
      </c>
      <c r="M16" s="3"/>
      <c r="N16" s="3"/>
      <c r="O16" s="3" t="s">
        <v>147</v>
      </c>
      <c r="P16" s="3" t="s">
        <v>57</v>
      </c>
      <c r="Q16" s="3" t="s">
        <v>58</v>
      </c>
      <c r="R16" s="3" t="s">
        <v>141</v>
      </c>
      <c r="S16" s="3" t="s">
        <v>60</v>
      </c>
      <c r="T16" s="3" t="s">
        <v>61</v>
      </c>
      <c r="U16" s="3" t="s">
        <v>142</v>
      </c>
    </row>
    <row r="17" ht="57" customHeight="1" spans="1:21">
      <c r="A17" s="3" t="s">
        <v>148</v>
      </c>
      <c r="B17" s="3" t="s">
        <v>149</v>
      </c>
      <c r="C17" s="3" t="s">
        <v>135</v>
      </c>
      <c r="D17" s="3" t="s">
        <v>99</v>
      </c>
      <c r="E17" s="3" t="s">
        <v>99</v>
      </c>
      <c r="F17" s="3" t="s">
        <v>150</v>
      </c>
      <c r="G17" s="3" t="s">
        <v>136</v>
      </c>
      <c r="H17" s="3" t="s">
        <v>151</v>
      </c>
      <c r="I17" s="3" t="s">
        <v>138</v>
      </c>
      <c r="J17" s="3" t="s">
        <v>152</v>
      </c>
      <c r="K17" s="9"/>
      <c r="L17" s="9" t="s">
        <v>55</v>
      </c>
      <c r="M17" s="3"/>
      <c r="N17" s="3"/>
      <c r="O17" s="3" t="s">
        <v>153</v>
      </c>
      <c r="P17" s="3" t="s">
        <v>57</v>
      </c>
      <c r="Q17" s="3" t="s">
        <v>58</v>
      </c>
      <c r="R17" s="3" t="s">
        <v>141</v>
      </c>
      <c r="S17" s="3" t="s">
        <v>60</v>
      </c>
      <c r="T17" s="3" t="s">
        <v>61</v>
      </c>
      <c r="U17" s="3" t="s">
        <v>142</v>
      </c>
    </row>
    <row r="18" ht="66" spans="1:21">
      <c r="A18" s="3" t="s">
        <v>154</v>
      </c>
      <c r="B18" s="3" t="s">
        <v>155</v>
      </c>
      <c r="C18" s="3" t="s">
        <v>135</v>
      </c>
      <c r="D18" s="3" t="s">
        <v>49</v>
      </c>
      <c r="E18" s="3" t="s">
        <v>49</v>
      </c>
      <c r="F18" s="3" t="s">
        <v>65</v>
      </c>
      <c r="G18" s="3" t="s">
        <v>136</v>
      </c>
      <c r="H18" s="3" t="s">
        <v>156</v>
      </c>
      <c r="I18" s="3" t="s">
        <v>138</v>
      </c>
      <c r="J18" s="3" t="s">
        <v>157</v>
      </c>
      <c r="K18" s="9"/>
      <c r="L18" s="9" t="s">
        <v>55</v>
      </c>
      <c r="M18" s="3"/>
      <c r="N18" s="3"/>
      <c r="O18" s="3" t="s">
        <v>158</v>
      </c>
      <c r="P18" s="3" t="s">
        <v>57</v>
      </c>
      <c r="Q18" s="3" t="s">
        <v>58</v>
      </c>
      <c r="R18" s="3" t="s">
        <v>141</v>
      </c>
      <c r="S18" s="3" t="s">
        <v>60</v>
      </c>
      <c r="T18" s="3" t="s">
        <v>61</v>
      </c>
      <c r="U18" s="3" t="s">
        <v>142</v>
      </c>
    </row>
    <row r="19" ht="52.8" spans="1:21">
      <c r="A19" s="3" t="s">
        <v>159</v>
      </c>
      <c r="B19" s="3" t="s">
        <v>160</v>
      </c>
      <c r="C19" s="3" t="s">
        <v>135</v>
      </c>
      <c r="D19" s="3" t="s">
        <v>49</v>
      </c>
      <c r="E19" s="3" t="s">
        <v>49</v>
      </c>
      <c r="F19" s="3" t="s">
        <v>120</v>
      </c>
      <c r="G19" s="3" t="s">
        <v>136</v>
      </c>
      <c r="H19" s="3" t="s">
        <v>161</v>
      </c>
      <c r="I19" s="3" t="s">
        <v>138</v>
      </c>
      <c r="J19" s="3" t="s">
        <v>162</v>
      </c>
      <c r="K19" s="9"/>
      <c r="L19" s="9" t="s">
        <v>55</v>
      </c>
      <c r="M19" s="3"/>
      <c r="N19" s="3"/>
      <c r="O19" s="3" t="s">
        <v>163</v>
      </c>
      <c r="P19" s="3" t="s">
        <v>57</v>
      </c>
      <c r="Q19" s="3" t="s">
        <v>58</v>
      </c>
      <c r="R19" s="3" t="s">
        <v>141</v>
      </c>
      <c r="S19" s="3" t="s">
        <v>60</v>
      </c>
      <c r="T19" s="3" t="s">
        <v>61</v>
      </c>
      <c r="U19" s="3" t="s">
        <v>142</v>
      </c>
    </row>
    <row r="20" ht="57" customHeight="1" spans="1:21">
      <c r="A20" s="3" t="s">
        <v>164</v>
      </c>
      <c r="B20" s="3" t="s">
        <v>165</v>
      </c>
      <c r="C20" s="3" t="s">
        <v>135</v>
      </c>
      <c r="D20" s="3" t="s">
        <v>99</v>
      </c>
      <c r="E20" s="3" t="s">
        <v>99</v>
      </c>
      <c r="F20" s="3" t="s">
        <v>166</v>
      </c>
      <c r="G20" s="3" t="s">
        <v>136</v>
      </c>
      <c r="H20" s="3" t="s">
        <v>167</v>
      </c>
      <c r="I20" s="3" t="s">
        <v>168</v>
      </c>
      <c r="J20" s="3" t="s">
        <v>169</v>
      </c>
      <c r="K20" s="9"/>
      <c r="L20" s="9" t="s">
        <v>55</v>
      </c>
      <c r="M20" s="3"/>
      <c r="N20" s="3"/>
      <c r="O20" s="3" t="s">
        <v>170</v>
      </c>
      <c r="P20" s="3" t="s">
        <v>57</v>
      </c>
      <c r="Q20" s="3" t="s">
        <v>58</v>
      </c>
      <c r="R20" s="3" t="s">
        <v>141</v>
      </c>
      <c r="S20" s="3" t="s">
        <v>60</v>
      </c>
      <c r="T20" s="3" t="s">
        <v>61</v>
      </c>
      <c r="U20" s="3" t="s">
        <v>142</v>
      </c>
    </row>
    <row r="21" ht="57" customHeight="1" spans="1:21">
      <c r="A21" s="3" t="s">
        <v>171</v>
      </c>
      <c r="B21" s="3" t="s">
        <v>172</v>
      </c>
      <c r="C21" s="3" t="s">
        <v>135</v>
      </c>
      <c r="D21" s="3" t="s">
        <v>49</v>
      </c>
      <c r="E21" s="3" t="s">
        <v>49</v>
      </c>
      <c r="F21" s="3" t="s">
        <v>50</v>
      </c>
      <c r="G21" s="3" t="s">
        <v>136</v>
      </c>
      <c r="H21" s="3" t="s">
        <v>173</v>
      </c>
      <c r="I21" s="3" t="s">
        <v>138</v>
      </c>
      <c r="J21" s="3" t="s">
        <v>174</v>
      </c>
      <c r="K21" s="9"/>
      <c r="L21" s="9" t="s">
        <v>55</v>
      </c>
      <c r="M21" s="3"/>
      <c r="N21" s="3"/>
      <c r="O21" s="3" t="s">
        <v>175</v>
      </c>
      <c r="P21" s="3" t="s">
        <v>57</v>
      </c>
      <c r="Q21" s="3" t="s">
        <v>58</v>
      </c>
      <c r="R21" s="3" t="s">
        <v>176</v>
      </c>
      <c r="S21" s="3" t="s">
        <v>60</v>
      </c>
      <c r="T21" s="3" t="s">
        <v>61</v>
      </c>
      <c r="U21" s="3" t="s">
        <v>142</v>
      </c>
    </row>
    <row r="22" ht="57" customHeight="1" spans="1:21">
      <c r="A22" s="3" t="s">
        <v>177</v>
      </c>
      <c r="B22" s="3" t="s">
        <v>178</v>
      </c>
      <c r="C22" s="3" t="s">
        <v>135</v>
      </c>
      <c r="D22" s="3" t="s">
        <v>99</v>
      </c>
      <c r="E22" s="3" t="s">
        <v>99</v>
      </c>
      <c r="F22" s="3" t="s">
        <v>77</v>
      </c>
      <c r="G22" s="3" t="s">
        <v>136</v>
      </c>
      <c r="H22" s="3" t="s">
        <v>179</v>
      </c>
      <c r="I22" s="3" t="s">
        <v>138</v>
      </c>
      <c r="J22" s="3" t="s">
        <v>180</v>
      </c>
      <c r="K22" s="9"/>
      <c r="L22" s="9" t="s">
        <v>55</v>
      </c>
      <c r="M22" s="3"/>
      <c r="N22" s="3"/>
      <c r="O22" s="3" t="s">
        <v>181</v>
      </c>
      <c r="P22" s="3" t="s">
        <v>57</v>
      </c>
      <c r="Q22" s="3" t="s">
        <v>58</v>
      </c>
      <c r="R22" s="3" t="s">
        <v>176</v>
      </c>
      <c r="S22" s="3" t="s">
        <v>60</v>
      </c>
      <c r="T22" s="3" t="s">
        <v>61</v>
      </c>
      <c r="U22" s="3" t="s">
        <v>142</v>
      </c>
    </row>
    <row r="23" ht="57" customHeight="1" spans="1:21">
      <c r="A23" s="3" t="s">
        <v>182</v>
      </c>
      <c r="B23" s="3" t="s">
        <v>183</v>
      </c>
      <c r="C23" s="3" t="s">
        <v>135</v>
      </c>
      <c r="D23" s="3" t="s">
        <v>49</v>
      </c>
      <c r="E23" s="3" t="s">
        <v>49</v>
      </c>
      <c r="F23" s="3" t="s">
        <v>120</v>
      </c>
      <c r="G23" s="3" t="s">
        <v>136</v>
      </c>
      <c r="H23" s="3" t="s">
        <v>184</v>
      </c>
      <c r="I23" s="3" t="s">
        <v>138</v>
      </c>
      <c r="J23" s="3" t="s">
        <v>185</v>
      </c>
      <c r="K23" s="9"/>
      <c r="L23" s="9" t="s">
        <v>55</v>
      </c>
      <c r="M23" s="3"/>
      <c r="N23" s="3"/>
      <c r="O23" s="3" t="s">
        <v>186</v>
      </c>
      <c r="P23" s="3" t="s">
        <v>57</v>
      </c>
      <c r="Q23" s="3" t="s">
        <v>58</v>
      </c>
      <c r="R23" s="3" t="s">
        <v>176</v>
      </c>
      <c r="S23" s="3" t="s">
        <v>60</v>
      </c>
      <c r="T23" s="3" t="s">
        <v>61</v>
      </c>
      <c r="U23" s="3" t="s">
        <v>142</v>
      </c>
    </row>
    <row r="24" ht="57" customHeight="1" spans="1:21">
      <c r="A24" s="3" t="s">
        <v>187</v>
      </c>
      <c r="B24" s="3" t="s">
        <v>188</v>
      </c>
      <c r="C24" s="3" t="s">
        <v>135</v>
      </c>
      <c r="D24" s="3" t="s">
        <v>99</v>
      </c>
      <c r="E24" s="3" t="s">
        <v>99</v>
      </c>
      <c r="F24" s="3" t="s">
        <v>65</v>
      </c>
      <c r="G24" s="3" t="s">
        <v>136</v>
      </c>
      <c r="H24" s="3" t="s">
        <v>189</v>
      </c>
      <c r="I24" s="3" t="s">
        <v>138</v>
      </c>
      <c r="J24" s="3" t="s">
        <v>190</v>
      </c>
      <c r="K24" s="9"/>
      <c r="L24" s="9" t="s">
        <v>55</v>
      </c>
      <c r="M24" s="3"/>
      <c r="N24" s="3"/>
      <c r="O24" s="3" t="s">
        <v>191</v>
      </c>
      <c r="P24" s="3" t="s">
        <v>57</v>
      </c>
      <c r="Q24" s="3" t="s">
        <v>58</v>
      </c>
      <c r="R24" s="3" t="s">
        <v>176</v>
      </c>
      <c r="S24" s="3" t="s">
        <v>60</v>
      </c>
      <c r="T24" s="3" t="s">
        <v>61</v>
      </c>
      <c r="U24" s="3" t="s">
        <v>142</v>
      </c>
    </row>
    <row r="25" ht="57" customHeight="1" spans="1:21">
      <c r="A25" s="3" t="s">
        <v>192</v>
      </c>
      <c r="B25" s="3" t="s">
        <v>193</v>
      </c>
      <c r="C25" s="3" t="s">
        <v>135</v>
      </c>
      <c r="D25" s="3" t="s">
        <v>49</v>
      </c>
      <c r="E25" s="3" t="s">
        <v>49</v>
      </c>
      <c r="F25" s="3" t="s">
        <v>50</v>
      </c>
      <c r="G25" s="3" t="s">
        <v>136</v>
      </c>
      <c r="H25" s="3" t="s">
        <v>194</v>
      </c>
      <c r="I25" s="3" t="s">
        <v>138</v>
      </c>
      <c r="J25" s="3" t="s">
        <v>195</v>
      </c>
      <c r="K25" s="9"/>
      <c r="L25" s="9" t="s">
        <v>55</v>
      </c>
      <c r="M25" s="3"/>
      <c r="N25" s="3"/>
      <c r="O25" s="3" t="s">
        <v>196</v>
      </c>
      <c r="P25" s="3" t="s">
        <v>57</v>
      </c>
      <c r="Q25" s="3" t="s">
        <v>58</v>
      </c>
      <c r="R25" s="3" t="s">
        <v>197</v>
      </c>
      <c r="S25" s="3" t="s">
        <v>60</v>
      </c>
      <c r="T25" s="3" t="s">
        <v>61</v>
      </c>
      <c r="U25" s="3" t="s">
        <v>142</v>
      </c>
    </row>
    <row r="26" ht="57" customHeight="1" spans="1:21">
      <c r="A26" s="3" t="s">
        <v>198</v>
      </c>
      <c r="B26" s="3" t="s">
        <v>199</v>
      </c>
      <c r="C26" s="3" t="s">
        <v>135</v>
      </c>
      <c r="D26" s="3" t="s">
        <v>49</v>
      </c>
      <c r="E26" s="3" t="s">
        <v>49</v>
      </c>
      <c r="F26" s="3" t="s">
        <v>92</v>
      </c>
      <c r="G26" s="3" t="s">
        <v>136</v>
      </c>
      <c r="H26" s="3" t="s">
        <v>200</v>
      </c>
      <c r="I26" s="3" t="s">
        <v>138</v>
      </c>
      <c r="J26" s="3" t="s">
        <v>201</v>
      </c>
      <c r="K26" s="9"/>
      <c r="L26" s="9" t="s">
        <v>55</v>
      </c>
      <c r="M26" s="3"/>
      <c r="N26" s="3"/>
      <c r="O26" s="3" t="s">
        <v>202</v>
      </c>
      <c r="P26" s="3" t="s">
        <v>57</v>
      </c>
      <c r="Q26" s="3" t="s">
        <v>58</v>
      </c>
      <c r="R26" s="3" t="s">
        <v>203</v>
      </c>
      <c r="S26" s="3" t="s">
        <v>60</v>
      </c>
      <c r="T26" s="3" t="s">
        <v>61</v>
      </c>
      <c r="U26" s="3" t="s">
        <v>142</v>
      </c>
    </row>
    <row r="27" ht="57" customHeight="1" spans="1:21">
      <c r="A27" s="3" t="s">
        <v>204</v>
      </c>
      <c r="B27" s="3" t="s">
        <v>205</v>
      </c>
      <c r="C27" s="3" t="s">
        <v>206</v>
      </c>
      <c r="D27" s="3" t="s">
        <v>49</v>
      </c>
      <c r="E27" s="3" t="s">
        <v>49</v>
      </c>
      <c r="F27" s="3" t="s">
        <v>50</v>
      </c>
      <c r="G27" s="3" t="s">
        <v>207</v>
      </c>
      <c r="H27" s="3" t="s">
        <v>208</v>
      </c>
      <c r="I27" s="3" t="s">
        <v>138</v>
      </c>
      <c r="J27" s="3" t="s">
        <v>209</v>
      </c>
      <c r="K27" s="9"/>
      <c r="L27" s="9" t="s">
        <v>55</v>
      </c>
      <c r="M27" s="3"/>
      <c r="N27" s="3"/>
      <c r="O27" s="3" t="s">
        <v>210</v>
      </c>
      <c r="P27" s="3" t="s">
        <v>57</v>
      </c>
      <c r="Q27" s="3" t="s">
        <v>58</v>
      </c>
      <c r="R27" s="3" t="s">
        <v>211</v>
      </c>
      <c r="S27" s="3" t="s">
        <v>60</v>
      </c>
      <c r="T27" s="3" t="s">
        <v>61</v>
      </c>
      <c r="U27" s="3" t="s">
        <v>132</v>
      </c>
    </row>
    <row r="28" ht="57" customHeight="1" spans="1:21">
      <c r="A28" s="3" t="s">
        <v>212</v>
      </c>
      <c r="B28" s="3" t="s">
        <v>213</v>
      </c>
      <c r="C28" s="3" t="s">
        <v>206</v>
      </c>
      <c r="D28" s="3" t="s">
        <v>49</v>
      </c>
      <c r="E28" s="3" t="s">
        <v>49</v>
      </c>
      <c r="F28" s="3" t="s">
        <v>127</v>
      </c>
      <c r="G28" s="3" t="s">
        <v>207</v>
      </c>
      <c r="H28" s="3" t="s">
        <v>214</v>
      </c>
      <c r="I28" s="3" t="s">
        <v>138</v>
      </c>
      <c r="J28" s="3" t="s">
        <v>215</v>
      </c>
      <c r="K28" s="9"/>
      <c r="L28" s="9" t="s">
        <v>55</v>
      </c>
      <c r="M28" s="3"/>
      <c r="N28" s="3"/>
      <c r="O28" s="3" t="s">
        <v>216</v>
      </c>
      <c r="P28" s="3" t="s">
        <v>57</v>
      </c>
      <c r="Q28" s="3" t="s">
        <v>58</v>
      </c>
      <c r="R28" s="3" t="s">
        <v>217</v>
      </c>
      <c r="S28" s="3" t="s">
        <v>60</v>
      </c>
      <c r="T28" s="3" t="s">
        <v>61</v>
      </c>
      <c r="U28" s="3" t="s">
        <v>132</v>
      </c>
    </row>
    <row r="29" ht="57" customHeight="1" spans="1:21">
      <c r="A29" s="3" t="s">
        <v>218</v>
      </c>
      <c r="B29" s="3" t="s">
        <v>219</v>
      </c>
      <c r="C29" s="3" t="s">
        <v>206</v>
      </c>
      <c r="D29" s="3" t="s">
        <v>49</v>
      </c>
      <c r="E29" s="3" t="s">
        <v>49</v>
      </c>
      <c r="F29" s="3" t="s">
        <v>92</v>
      </c>
      <c r="G29" s="3" t="s">
        <v>207</v>
      </c>
      <c r="H29" s="3" t="s">
        <v>220</v>
      </c>
      <c r="I29" s="3" t="s">
        <v>138</v>
      </c>
      <c r="J29" s="3" t="s">
        <v>221</v>
      </c>
      <c r="K29" s="9"/>
      <c r="L29" s="9" t="s">
        <v>55</v>
      </c>
      <c r="M29" s="3"/>
      <c r="N29" s="3"/>
      <c r="O29" s="3" t="s">
        <v>222</v>
      </c>
      <c r="P29" s="3" t="s">
        <v>57</v>
      </c>
      <c r="Q29" s="3" t="s">
        <v>58</v>
      </c>
      <c r="R29" s="3" t="s">
        <v>223</v>
      </c>
      <c r="S29" s="3" t="s">
        <v>60</v>
      </c>
      <c r="T29" s="3" t="s">
        <v>61</v>
      </c>
      <c r="U29" s="3" t="s">
        <v>132</v>
      </c>
    </row>
    <row r="30" ht="57" customHeight="1" spans="1:21">
      <c r="A30" s="3" t="s">
        <v>224</v>
      </c>
      <c r="B30" s="3" t="s">
        <v>225</v>
      </c>
      <c r="C30" s="3" t="s">
        <v>206</v>
      </c>
      <c r="D30" s="3" t="s">
        <v>99</v>
      </c>
      <c r="E30" s="3" t="s">
        <v>99</v>
      </c>
      <c r="F30" s="3" t="s">
        <v>50</v>
      </c>
      <c r="G30" s="3" t="s">
        <v>207</v>
      </c>
      <c r="H30" s="3" t="s">
        <v>226</v>
      </c>
      <c r="I30" s="3" t="s">
        <v>138</v>
      </c>
      <c r="J30" s="3" t="s">
        <v>227</v>
      </c>
      <c r="K30" s="9"/>
      <c r="L30" s="9" t="s">
        <v>55</v>
      </c>
      <c r="M30" s="3"/>
      <c r="N30" s="3"/>
      <c r="O30" s="3" t="s">
        <v>228</v>
      </c>
      <c r="P30" s="3" t="s">
        <v>57</v>
      </c>
      <c r="Q30" s="3" t="s">
        <v>58</v>
      </c>
      <c r="R30" s="3" t="s">
        <v>229</v>
      </c>
      <c r="S30" s="3" t="s">
        <v>60</v>
      </c>
      <c r="T30" s="3" t="s">
        <v>61</v>
      </c>
      <c r="U30" s="3" t="s">
        <v>132</v>
      </c>
    </row>
    <row r="31" ht="57" customHeight="1" spans="1:21">
      <c r="A31" s="3" t="s">
        <v>230</v>
      </c>
      <c r="B31" s="3" t="s">
        <v>231</v>
      </c>
      <c r="C31" s="3" t="s">
        <v>206</v>
      </c>
      <c r="D31" s="3" t="s">
        <v>99</v>
      </c>
      <c r="E31" s="3" t="s">
        <v>99</v>
      </c>
      <c r="F31" s="3" t="s">
        <v>92</v>
      </c>
      <c r="G31" s="3" t="s">
        <v>207</v>
      </c>
      <c r="H31" s="3" t="s">
        <v>232</v>
      </c>
      <c r="I31" s="3" t="s">
        <v>138</v>
      </c>
      <c r="J31" s="3" t="s">
        <v>233</v>
      </c>
      <c r="K31" s="9"/>
      <c r="L31" s="9" t="s">
        <v>55</v>
      </c>
      <c r="M31" s="3"/>
      <c r="N31" s="3"/>
      <c r="O31" s="3" t="s">
        <v>234</v>
      </c>
      <c r="P31" s="3" t="s">
        <v>57</v>
      </c>
      <c r="Q31" s="3" t="s">
        <v>58</v>
      </c>
      <c r="R31" s="3" t="s">
        <v>235</v>
      </c>
      <c r="S31" s="3" t="s">
        <v>60</v>
      </c>
      <c r="T31" s="3" t="s">
        <v>61</v>
      </c>
      <c r="U31" s="3" t="s">
        <v>132</v>
      </c>
    </row>
    <row r="32" ht="57" customHeight="1" spans="1:21">
      <c r="A32" s="3" t="s">
        <v>236</v>
      </c>
      <c r="B32" s="3" t="s">
        <v>237</v>
      </c>
      <c r="C32" s="3" t="s">
        <v>206</v>
      </c>
      <c r="D32" s="3" t="s">
        <v>49</v>
      </c>
      <c r="E32" s="3" t="s">
        <v>49</v>
      </c>
      <c r="F32" s="3" t="s">
        <v>166</v>
      </c>
      <c r="G32" s="3" t="s">
        <v>207</v>
      </c>
      <c r="H32" s="3" t="s">
        <v>238</v>
      </c>
      <c r="I32" s="3" t="s">
        <v>239</v>
      </c>
      <c r="J32" s="3" t="s">
        <v>240</v>
      </c>
      <c r="K32" s="9"/>
      <c r="L32" s="9" t="s">
        <v>55</v>
      </c>
      <c r="M32" s="3"/>
      <c r="N32" s="3"/>
      <c r="O32" s="3" t="s">
        <v>241</v>
      </c>
      <c r="P32" s="3" t="s">
        <v>57</v>
      </c>
      <c r="Q32" s="3" t="s">
        <v>58</v>
      </c>
      <c r="R32" s="3" t="s">
        <v>242</v>
      </c>
      <c r="S32" s="3" t="s">
        <v>60</v>
      </c>
      <c r="T32" s="3" t="s">
        <v>61</v>
      </c>
      <c r="U32" s="3" t="s">
        <v>243</v>
      </c>
    </row>
    <row r="33" ht="57" customHeight="1" spans="1:21">
      <c r="A33" s="3" t="s">
        <v>244</v>
      </c>
      <c r="B33" s="3" t="s">
        <v>245</v>
      </c>
      <c r="C33" s="3" t="s">
        <v>206</v>
      </c>
      <c r="D33" s="3" t="s">
        <v>99</v>
      </c>
      <c r="E33" s="3" t="s">
        <v>99</v>
      </c>
      <c r="F33" s="3" t="s">
        <v>92</v>
      </c>
      <c r="G33" s="3" t="s">
        <v>207</v>
      </c>
      <c r="H33" s="3" t="s">
        <v>246</v>
      </c>
      <c r="I33" s="3" t="s">
        <v>138</v>
      </c>
      <c r="J33" s="3" t="s">
        <v>247</v>
      </c>
      <c r="K33" s="9"/>
      <c r="L33" s="9" t="s">
        <v>55</v>
      </c>
      <c r="M33" s="3"/>
      <c r="N33" s="3"/>
      <c r="O33" s="3" t="s">
        <v>248</v>
      </c>
      <c r="P33" s="3" t="s">
        <v>57</v>
      </c>
      <c r="Q33" s="3" t="s">
        <v>58</v>
      </c>
      <c r="R33" s="3" t="s">
        <v>249</v>
      </c>
      <c r="S33" s="3" t="s">
        <v>60</v>
      </c>
      <c r="T33" s="3" t="s">
        <v>61</v>
      </c>
      <c r="U33" s="3" t="s">
        <v>132</v>
      </c>
    </row>
    <row r="34" ht="57" customHeight="1" spans="1:21">
      <c r="A34" s="3" t="s">
        <v>250</v>
      </c>
      <c r="B34" s="3" t="s">
        <v>251</v>
      </c>
      <c r="C34" s="3" t="s">
        <v>206</v>
      </c>
      <c r="D34" s="3" t="s">
        <v>49</v>
      </c>
      <c r="E34" s="3" t="s">
        <v>49</v>
      </c>
      <c r="F34" s="3" t="s">
        <v>127</v>
      </c>
      <c r="G34" s="3" t="s">
        <v>207</v>
      </c>
      <c r="H34" s="3" t="s">
        <v>252</v>
      </c>
      <c r="I34" s="3" t="s">
        <v>138</v>
      </c>
      <c r="J34" s="3" t="s">
        <v>253</v>
      </c>
      <c r="K34" s="9"/>
      <c r="L34" s="9" t="s">
        <v>55</v>
      </c>
      <c r="M34" s="3"/>
      <c r="N34" s="3"/>
      <c r="O34" s="3" t="s">
        <v>254</v>
      </c>
      <c r="P34" s="3" t="s">
        <v>57</v>
      </c>
      <c r="Q34" s="3" t="s">
        <v>58</v>
      </c>
      <c r="R34" s="3" t="s">
        <v>255</v>
      </c>
      <c r="S34" s="3" t="s">
        <v>60</v>
      </c>
      <c r="T34" s="3" t="s">
        <v>61</v>
      </c>
      <c r="U34" s="3" t="s">
        <v>132</v>
      </c>
    </row>
    <row r="35" ht="57" customHeight="1" spans="1:21">
      <c r="A35" s="3" t="s">
        <v>256</v>
      </c>
      <c r="B35" s="3" t="s">
        <v>257</v>
      </c>
      <c r="C35" s="3" t="s">
        <v>206</v>
      </c>
      <c r="D35" s="3" t="s">
        <v>49</v>
      </c>
      <c r="E35" s="3" t="s">
        <v>49</v>
      </c>
      <c r="F35" s="3" t="s">
        <v>92</v>
      </c>
      <c r="G35" s="3" t="s">
        <v>207</v>
      </c>
      <c r="H35" s="3" t="s">
        <v>258</v>
      </c>
      <c r="I35" s="3" t="s">
        <v>138</v>
      </c>
      <c r="J35" s="3" t="s">
        <v>259</v>
      </c>
      <c r="K35" s="9"/>
      <c r="L35" s="9" t="s">
        <v>55</v>
      </c>
      <c r="M35" s="3"/>
      <c r="N35" s="3"/>
      <c r="O35" s="3" t="s">
        <v>260</v>
      </c>
      <c r="P35" s="3" t="s">
        <v>57</v>
      </c>
      <c r="Q35" s="3" t="s">
        <v>58</v>
      </c>
      <c r="R35" s="3" t="s">
        <v>261</v>
      </c>
      <c r="S35" s="3" t="s">
        <v>60</v>
      </c>
      <c r="T35" s="3" t="s">
        <v>61</v>
      </c>
      <c r="U35" s="3" t="s">
        <v>132</v>
      </c>
    </row>
    <row r="36" ht="57" customHeight="1" spans="1:21">
      <c r="A36" s="3" t="s">
        <v>262</v>
      </c>
      <c r="B36" s="3" t="s">
        <v>263</v>
      </c>
      <c r="C36" s="3" t="s">
        <v>264</v>
      </c>
      <c r="D36" s="3" t="s">
        <v>99</v>
      </c>
      <c r="E36" s="3" t="s">
        <v>99</v>
      </c>
      <c r="F36" s="3" t="s">
        <v>50</v>
      </c>
      <c r="G36" s="3" t="s">
        <v>265</v>
      </c>
      <c r="H36" s="3" t="s">
        <v>266</v>
      </c>
      <c r="I36" s="3" t="s">
        <v>267</v>
      </c>
      <c r="J36" s="3" t="s">
        <v>268</v>
      </c>
      <c r="K36" s="9"/>
      <c r="L36" s="9" t="s">
        <v>55</v>
      </c>
      <c r="M36" s="3"/>
      <c r="N36" s="3"/>
      <c r="O36" s="3" t="s">
        <v>269</v>
      </c>
      <c r="P36" s="3" t="s">
        <v>57</v>
      </c>
      <c r="Q36" s="3" t="s">
        <v>270</v>
      </c>
      <c r="R36" s="3" t="s">
        <v>271</v>
      </c>
      <c r="S36" s="3" t="s">
        <v>60</v>
      </c>
      <c r="T36" s="3" t="s">
        <v>61</v>
      </c>
      <c r="U36" s="3" t="s">
        <v>272</v>
      </c>
    </row>
    <row r="37" ht="57" customHeight="1" spans="1:21">
      <c r="A37" s="3" t="s">
        <v>273</v>
      </c>
      <c r="B37" s="3" t="s">
        <v>274</v>
      </c>
      <c r="C37" s="3" t="s">
        <v>264</v>
      </c>
      <c r="D37" s="3" t="s">
        <v>99</v>
      </c>
      <c r="E37" s="3" t="s">
        <v>99</v>
      </c>
      <c r="F37" s="3" t="s">
        <v>166</v>
      </c>
      <c r="G37" s="3" t="s">
        <v>265</v>
      </c>
      <c r="H37" s="3" t="s">
        <v>275</v>
      </c>
      <c r="I37" s="3" t="s">
        <v>276</v>
      </c>
      <c r="J37" s="3" t="s">
        <v>277</v>
      </c>
      <c r="K37" s="9"/>
      <c r="L37" s="9" t="s">
        <v>55</v>
      </c>
      <c r="M37" s="3"/>
      <c r="N37" s="3"/>
      <c r="O37" s="3" t="s">
        <v>269</v>
      </c>
      <c r="P37" s="3" t="s">
        <v>57</v>
      </c>
      <c r="Q37" s="3" t="s">
        <v>270</v>
      </c>
      <c r="R37" s="3" t="s">
        <v>278</v>
      </c>
      <c r="S37" s="3" t="s">
        <v>60</v>
      </c>
      <c r="T37" s="3" t="s">
        <v>61</v>
      </c>
      <c r="U37" s="3" t="s">
        <v>272</v>
      </c>
    </row>
    <row r="38" ht="57" customHeight="1" spans="1:21">
      <c r="A38" s="3" t="s">
        <v>279</v>
      </c>
      <c r="B38" s="3" t="s">
        <v>280</v>
      </c>
      <c r="C38" s="3" t="s">
        <v>264</v>
      </c>
      <c r="D38" s="3" t="s">
        <v>49</v>
      </c>
      <c r="E38" s="3" t="s">
        <v>49</v>
      </c>
      <c r="F38" s="3" t="s">
        <v>127</v>
      </c>
      <c r="G38" s="3" t="s">
        <v>265</v>
      </c>
      <c r="H38" s="3" t="s">
        <v>281</v>
      </c>
      <c r="I38" s="3" t="s">
        <v>282</v>
      </c>
      <c r="J38" s="3" t="s">
        <v>283</v>
      </c>
      <c r="K38" s="9"/>
      <c r="L38" s="9" t="s">
        <v>55</v>
      </c>
      <c r="M38" s="3"/>
      <c r="N38" s="3"/>
      <c r="O38" s="3" t="s">
        <v>284</v>
      </c>
      <c r="P38" s="3" t="s">
        <v>57</v>
      </c>
      <c r="Q38" s="3" t="s">
        <v>270</v>
      </c>
      <c r="R38" s="3" t="s">
        <v>271</v>
      </c>
      <c r="S38" s="3" t="s">
        <v>60</v>
      </c>
      <c r="T38" s="3" t="s">
        <v>61</v>
      </c>
      <c r="U38" s="3" t="s">
        <v>272</v>
      </c>
    </row>
    <row r="39" ht="57" customHeight="1" spans="1:21">
      <c r="A39" s="3" t="s">
        <v>285</v>
      </c>
      <c r="B39" s="3" t="s">
        <v>286</v>
      </c>
      <c r="C39" s="3" t="s">
        <v>264</v>
      </c>
      <c r="D39" s="3" t="s">
        <v>99</v>
      </c>
      <c r="E39" s="3" t="s">
        <v>99</v>
      </c>
      <c r="F39" s="3" t="s">
        <v>65</v>
      </c>
      <c r="G39" s="3" t="s">
        <v>265</v>
      </c>
      <c r="H39" s="3" t="s">
        <v>287</v>
      </c>
      <c r="I39" s="3" t="s">
        <v>138</v>
      </c>
      <c r="J39" s="3" t="s">
        <v>288</v>
      </c>
      <c r="K39" s="9"/>
      <c r="L39" s="9" t="s">
        <v>55</v>
      </c>
      <c r="M39" s="3"/>
      <c r="N39" s="3"/>
      <c r="O39" s="3" t="s">
        <v>289</v>
      </c>
      <c r="P39" s="3" t="s">
        <v>57</v>
      </c>
      <c r="Q39" s="3" t="s">
        <v>58</v>
      </c>
      <c r="R39" s="3" t="s">
        <v>290</v>
      </c>
      <c r="S39" s="3" t="s">
        <v>60</v>
      </c>
      <c r="T39" s="3" t="s">
        <v>61</v>
      </c>
      <c r="U39" s="3" t="s">
        <v>291</v>
      </c>
    </row>
    <row r="40" ht="57" customHeight="1" spans="1:21">
      <c r="A40" s="3" t="s">
        <v>292</v>
      </c>
      <c r="B40" s="3" t="s">
        <v>293</v>
      </c>
      <c r="C40" s="3" t="s">
        <v>264</v>
      </c>
      <c r="D40" s="3" t="s">
        <v>49</v>
      </c>
      <c r="E40" s="3" t="s">
        <v>49</v>
      </c>
      <c r="F40" s="3" t="s">
        <v>294</v>
      </c>
      <c r="G40" s="3" t="s">
        <v>265</v>
      </c>
      <c r="H40" s="3" t="s">
        <v>295</v>
      </c>
      <c r="I40" s="3" t="s">
        <v>138</v>
      </c>
      <c r="J40" s="3" t="s">
        <v>296</v>
      </c>
      <c r="K40" s="9"/>
      <c r="L40" s="9" t="s">
        <v>55</v>
      </c>
      <c r="M40" s="3"/>
      <c r="N40" s="3"/>
      <c r="O40" s="3" t="s">
        <v>297</v>
      </c>
      <c r="P40" s="3" t="s">
        <v>57</v>
      </c>
      <c r="Q40" s="3" t="s">
        <v>58</v>
      </c>
      <c r="R40" s="3" t="s">
        <v>298</v>
      </c>
      <c r="S40" s="3" t="s">
        <v>60</v>
      </c>
      <c r="T40" s="3" t="s">
        <v>61</v>
      </c>
      <c r="U40" s="3" t="s">
        <v>291</v>
      </c>
    </row>
    <row r="41" ht="57" customHeight="1" spans="1:21">
      <c r="A41" s="3" t="s">
        <v>299</v>
      </c>
      <c r="B41" s="3" t="s">
        <v>300</v>
      </c>
      <c r="C41" s="3" t="s">
        <v>301</v>
      </c>
      <c r="D41" s="3" t="s">
        <v>49</v>
      </c>
      <c r="E41" s="3" t="s">
        <v>49</v>
      </c>
      <c r="F41" s="3" t="s">
        <v>50</v>
      </c>
      <c r="G41" s="3" t="s">
        <v>302</v>
      </c>
      <c r="H41" s="3" t="s">
        <v>303</v>
      </c>
      <c r="I41" s="3" t="s">
        <v>138</v>
      </c>
      <c r="J41" s="3" t="s">
        <v>304</v>
      </c>
      <c r="K41" s="9"/>
      <c r="L41" s="9" t="s">
        <v>55</v>
      </c>
      <c r="M41" s="3"/>
      <c r="N41" s="3"/>
      <c r="O41" s="3" t="s">
        <v>305</v>
      </c>
      <c r="P41" s="3" t="s">
        <v>57</v>
      </c>
      <c r="Q41" s="3" t="s">
        <v>58</v>
      </c>
      <c r="R41" s="3" t="s">
        <v>306</v>
      </c>
      <c r="S41" s="3" t="s">
        <v>60</v>
      </c>
      <c r="T41" s="3" t="s">
        <v>61</v>
      </c>
      <c r="U41" s="3" t="s">
        <v>307</v>
      </c>
    </row>
    <row r="42" ht="57" customHeight="1" spans="1:21">
      <c r="A42" s="3" t="s">
        <v>308</v>
      </c>
      <c r="B42" s="3" t="s">
        <v>309</v>
      </c>
      <c r="C42" s="3" t="s">
        <v>301</v>
      </c>
      <c r="D42" s="3" t="s">
        <v>49</v>
      </c>
      <c r="E42" s="3" t="s">
        <v>49</v>
      </c>
      <c r="F42" s="3" t="s">
        <v>50</v>
      </c>
      <c r="G42" s="3" t="s">
        <v>302</v>
      </c>
      <c r="H42" s="3" t="s">
        <v>310</v>
      </c>
      <c r="I42" s="3" t="s">
        <v>138</v>
      </c>
      <c r="J42" s="3" t="s">
        <v>311</v>
      </c>
      <c r="K42" s="9"/>
      <c r="L42" s="9" t="s">
        <v>55</v>
      </c>
      <c r="M42" s="3"/>
      <c r="N42" s="3"/>
      <c r="O42" s="3" t="s">
        <v>312</v>
      </c>
      <c r="P42" s="3" t="s">
        <v>57</v>
      </c>
      <c r="Q42" s="3" t="s">
        <v>58</v>
      </c>
      <c r="R42" s="3" t="s">
        <v>313</v>
      </c>
      <c r="S42" s="3" t="s">
        <v>60</v>
      </c>
      <c r="T42" s="3" t="s">
        <v>61</v>
      </c>
      <c r="U42" s="3" t="s">
        <v>307</v>
      </c>
    </row>
    <row r="43" ht="57" customHeight="1" spans="1:21">
      <c r="A43" s="3" t="s">
        <v>314</v>
      </c>
      <c r="B43" s="3" t="s">
        <v>315</v>
      </c>
      <c r="C43" s="3" t="s">
        <v>301</v>
      </c>
      <c r="D43" s="3" t="s">
        <v>49</v>
      </c>
      <c r="E43" s="3" t="s">
        <v>49</v>
      </c>
      <c r="F43" s="3" t="s">
        <v>65</v>
      </c>
      <c r="G43" s="3" t="s">
        <v>302</v>
      </c>
      <c r="H43" s="3" t="s">
        <v>316</v>
      </c>
      <c r="I43" s="3" t="s">
        <v>138</v>
      </c>
      <c r="J43" s="3" t="s">
        <v>317</v>
      </c>
      <c r="K43" s="9"/>
      <c r="L43" s="9" t="s">
        <v>55</v>
      </c>
      <c r="M43" s="3"/>
      <c r="N43" s="3"/>
      <c r="O43" s="3" t="s">
        <v>318</v>
      </c>
      <c r="P43" s="3" t="s">
        <v>57</v>
      </c>
      <c r="Q43" s="3" t="s">
        <v>58</v>
      </c>
      <c r="R43" s="3" t="s">
        <v>319</v>
      </c>
      <c r="S43" s="3" t="s">
        <v>60</v>
      </c>
      <c r="T43" s="3" t="s">
        <v>61</v>
      </c>
      <c r="U43" s="3" t="s">
        <v>307</v>
      </c>
    </row>
    <row r="44" ht="57" customHeight="1" spans="1:21">
      <c r="A44" s="3" t="s">
        <v>320</v>
      </c>
      <c r="B44" s="3" t="s">
        <v>321</v>
      </c>
      <c r="C44" s="3" t="s">
        <v>301</v>
      </c>
      <c r="D44" s="3" t="s">
        <v>49</v>
      </c>
      <c r="E44" s="3" t="s">
        <v>49</v>
      </c>
      <c r="F44" s="3" t="s">
        <v>65</v>
      </c>
      <c r="G44" s="3" t="s">
        <v>302</v>
      </c>
      <c r="H44" s="3" t="s">
        <v>322</v>
      </c>
      <c r="I44" s="3" t="s">
        <v>138</v>
      </c>
      <c r="J44" s="3" t="s">
        <v>323</v>
      </c>
      <c r="K44" s="9"/>
      <c r="L44" s="9" t="s">
        <v>55</v>
      </c>
      <c r="M44" s="3"/>
      <c r="N44" s="3"/>
      <c r="O44" s="3" t="s">
        <v>324</v>
      </c>
      <c r="P44" s="3" t="s">
        <v>57</v>
      </c>
      <c r="Q44" s="3" t="s">
        <v>58</v>
      </c>
      <c r="R44" s="3" t="s">
        <v>319</v>
      </c>
      <c r="S44" s="3" t="s">
        <v>60</v>
      </c>
      <c r="T44" s="3" t="s">
        <v>61</v>
      </c>
      <c r="U44" s="3" t="s">
        <v>307</v>
      </c>
    </row>
    <row r="45" ht="57" customHeight="1" spans="1:21">
      <c r="A45" s="3" t="s">
        <v>325</v>
      </c>
      <c r="B45" s="3" t="s">
        <v>326</v>
      </c>
      <c r="C45" s="3" t="s">
        <v>301</v>
      </c>
      <c r="D45" s="3" t="s">
        <v>49</v>
      </c>
      <c r="E45" s="3" t="s">
        <v>49</v>
      </c>
      <c r="F45" s="3" t="s">
        <v>84</v>
      </c>
      <c r="G45" s="3" t="s">
        <v>302</v>
      </c>
      <c r="H45" s="3" t="s">
        <v>327</v>
      </c>
      <c r="I45" s="3" t="s">
        <v>138</v>
      </c>
      <c r="J45" s="3" t="s">
        <v>328</v>
      </c>
      <c r="K45" s="9"/>
      <c r="L45" s="9" t="s">
        <v>55</v>
      </c>
      <c r="M45" s="3"/>
      <c r="N45" s="3"/>
      <c r="O45" s="3" t="s">
        <v>329</v>
      </c>
      <c r="P45" s="3" t="s">
        <v>57</v>
      </c>
      <c r="Q45" s="3" t="s">
        <v>58</v>
      </c>
      <c r="R45" s="3" t="s">
        <v>319</v>
      </c>
      <c r="S45" s="3" t="s">
        <v>60</v>
      </c>
      <c r="T45" s="3" t="s">
        <v>61</v>
      </c>
      <c r="U45" s="3" t="s">
        <v>307</v>
      </c>
    </row>
    <row r="46" ht="57" customHeight="1" spans="1:21">
      <c r="A46" s="3" t="s">
        <v>330</v>
      </c>
      <c r="B46" s="3" t="s">
        <v>331</v>
      </c>
      <c r="C46" s="3" t="s">
        <v>301</v>
      </c>
      <c r="D46" s="3" t="s">
        <v>99</v>
      </c>
      <c r="E46" s="3" t="s">
        <v>99</v>
      </c>
      <c r="F46" s="3" t="s">
        <v>120</v>
      </c>
      <c r="G46" s="3" t="s">
        <v>302</v>
      </c>
      <c r="H46" s="3" t="s">
        <v>332</v>
      </c>
      <c r="I46" s="3" t="s">
        <v>138</v>
      </c>
      <c r="J46" s="3" t="s">
        <v>333</v>
      </c>
      <c r="K46" s="9"/>
      <c r="L46" s="9" t="s">
        <v>55</v>
      </c>
      <c r="M46" s="3"/>
      <c r="N46" s="3"/>
      <c r="O46" s="3" t="s">
        <v>334</v>
      </c>
      <c r="P46" s="3" t="s">
        <v>57</v>
      </c>
      <c r="Q46" s="3" t="s">
        <v>58</v>
      </c>
      <c r="R46" s="3" t="s">
        <v>319</v>
      </c>
      <c r="S46" s="3" t="s">
        <v>60</v>
      </c>
      <c r="T46" s="3" t="s">
        <v>61</v>
      </c>
      <c r="U46" s="3" t="s">
        <v>307</v>
      </c>
    </row>
    <row r="47" ht="57" customHeight="1" spans="1:21">
      <c r="A47" s="3" t="s">
        <v>335</v>
      </c>
      <c r="B47" s="3" t="s">
        <v>336</v>
      </c>
      <c r="C47" s="3" t="s">
        <v>301</v>
      </c>
      <c r="D47" s="3" t="s">
        <v>49</v>
      </c>
      <c r="E47" s="3" t="s">
        <v>49</v>
      </c>
      <c r="F47" s="3" t="s">
        <v>92</v>
      </c>
      <c r="G47" s="3" t="s">
        <v>302</v>
      </c>
      <c r="H47" s="3" t="s">
        <v>337</v>
      </c>
      <c r="I47" s="3" t="s">
        <v>138</v>
      </c>
      <c r="J47" s="3" t="s">
        <v>338</v>
      </c>
      <c r="K47" s="9"/>
      <c r="L47" s="9" t="s">
        <v>55</v>
      </c>
      <c r="M47" s="3"/>
      <c r="N47" s="3"/>
      <c r="O47" s="3" t="s">
        <v>339</v>
      </c>
      <c r="P47" s="3" t="s">
        <v>57</v>
      </c>
      <c r="Q47" s="3" t="s">
        <v>58</v>
      </c>
      <c r="R47" s="3" t="s">
        <v>340</v>
      </c>
      <c r="S47" s="3" t="s">
        <v>60</v>
      </c>
      <c r="T47" s="3" t="s">
        <v>61</v>
      </c>
      <c r="U47" s="3" t="s">
        <v>307</v>
      </c>
    </row>
    <row r="48" ht="57" customHeight="1" spans="1:21">
      <c r="A48" s="3" t="s">
        <v>341</v>
      </c>
      <c r="B48" s="3" t="s">
        <v>342</v>
      </c>
      <c r="C48" s="3" t="s">
        <v>301</v>
      </c>
      <c r="D48" s="3" t="s">
        <v>49</v>
      </c>
      <c r="E48" s="3" t="s">
        <v>49</v>
      </c>
      <c r="F48" s="3" t="s">
        <v>92</v>
      </c>
      <c r="G48" s="3" t="s">
        <v>302</v>
      </c>
      <c r="H48" s="3" t="s">
        <v>343</v>
      </c>
      <c r="I48" s="3" t="s">
        <v>138</v>
      </c>
      <c r="J48" s="3" t="s">
        <v>344</v>
      </c>
      <c r="K48" s="9"/>
      <c r="L48" s="9" t="s">
        <v>55</v>
      </c>
      <c r="M48" s="3"/>
      <c r="N48" s="3"/>
      <c r="O48" s="3" t="s">
        <v>345</v>
      </c>
      <c r="P48" s="3" t="s">
        <v>57</v>
      </c>
      <c r="Q48" s="3" t="s">
        <v>58</v>
      </c>
      <c r="R48" s="3" t="s">
        <v>346</v>
      </c>
      <c r="S48" s="3" t="s">
        <v>60</v>
      </c>
      <c r="T48" s="3" t="s">
        <v>61</v>
      </c>
      <c r="U48" s="3" t="s">
        <v>307</v>
      </c>
    </row>
    <row r="49" ht="57" customHeight="1" spans="1:21">
      <c r="A49" s="3" t="s">
        <v>347</v>
      </c>
      <c r="B49" s="3" t="s">
        <v>348</v>
      </c>
      <c r="C49" s="3" t="s">
        <v>301</v>
      </c>
      <c r="D49" s="3" t="s">
        <v>99</v>
      </c>
      <c r="E49" s="3" t="s">
        <v>99</v>
      </c>
      <c r="F49" s="3" t="s">
        <v>77</v>
      </c>
      <c r="G49" s="3" t="s">
        <v>302</v>
      </c>
      <c r="H49" s="3" t="s">
        <v>349</v>
      </c>
      <c r="I49" s="3" t="s">
        <v>138</v>
      </c>
      <c r="J49" s="3" t="s">
        <v>350</v>
      </c>
      <c r="K49" s="9"/>
      <c r="L49" s="9" t="s">
        <v>55</v>
      </c>
      <c r="M49" s="3"/>
      <c r="N49" s="3"/>
      <c r="O49" s="3" t="s">
        <v>351</v>
      </c>
      <c r="P49" s="3" t="s">
        <v>57</v>
      </c>
      <c r="Q49" s="3" t="s">
        <v>58</v>
      </c>
      <c r="R49" s="3" t="s">
        <v>352</v>
      </c>
      <c r="S49" s="3" t="s">
        <v>60</v>
      </c>
      <c r="T49" s="3" t="s">
        <v>61</v>
      </c>
      <c r="U49" s="3" t="s">
        <v>307</v>
      </c>
    </row>
    <row r="50" ht="57" customHeight="1" spans="1:21">
      <c r="A50" s="3" t="s">
        <v>353</v>
      </c>
      <c r="B50" s="3" t="s">
        <v>354</v>
      </c>
      <c r="C50" s="3" t="s">
        <v>301</v>
      </c>
      <c r="D50" s="3" t="s">
        <v>49</v>
      </c>
      <c r="E50" s="3" t="s">
        <v>49</v>
      </c>
      <c r="F50" s="3" t="s">
        <v>92</v>
      </c>
      <c r="G50" s="3" t="s">
        <v>302</v>
      </c>
      <c r="H50" s="3" t="s">
        <v>355</v>
      </c>
      <c r="I50" s="3" t="s">
        <v>138</v>
      </c>
      <c r="J50" s="3" t="s">
        <v>356</v>
      </c>
      <c r="K50" s="9"/>
      <c r="L50" s="9" t="s">
        <v>55</v>
      </c>
      <c r="M50" s="3"/>
      <c r="N50" s="3"/>
      <c r="O50" s="3" t="s">
        <v>357</v>
      </c>
      <c r="P50" s="3" t="s">
        <v>57</v>
      </c>
      <c r="Q50" s="3" t="s">
        <v>58</v>
      </c>
      <c r="R50" s="3" t="s">
        <v>319</v>
      </c>
      <c r="S50" s="3" t="s">
        <v>60</v>
      </c>
      <c r="T50" s="3" t="s">
        <v>61</v>
      </c>
      <c r="U50" s="3" t="s">
        <v>307</v>
      </c>
    </row>
    <row r="51" ht="57" customHeight="1" spans="1:21">
      <c r="A51" s="3" t="s">
        <v>358</v>
      </c>
      <c r="B51" s="3" t="s">
        <v>359</v>
      </c>
      <c r="C51" s="3" t="s">
        <v>301</v>
      </c>
      <c r="D51" s="3" t="s">
        <v>49</v>
      </c>
      <c r="E51" s="3" t="s">
        <v>49</v>
      </c>
      <c r="F51" s="3" t="s">
        <v>65</v>
      </c>
      <c r="G51" s="3" t="s">
        <v>302</v>
      </c>
      <c r="H51" s="3" t="s">
        <v>360</v>
      </c>
      <c r="I51" s="3" t="s">
        <v>361</v>
      </c>
      <c r="J51" s="3" t="s">
        <v>362</v>
      </c>
      <c r="K51" s="9"/>
      <c r="L51" s="9" t="s">
        <v>55</v>
      </c>
      <c r="M51" s="3"/>
      <c r="N51" s="3"/>
      <c r="O51" s="3" t="s">
        <v>363</v>
      </c>
      <c r="P51" s="3" t="s">
        <v>57</v>
      </c>
      <c r="Q51" s="3" t="s">
        <v>58</v>
      </c>
      <c r="R51" s="3" t="s">
        <v>364</v>
      </c>
      <c r="S51" s="3" t="s">
        <v>60</v>
      </c>
      <c r="T51" s="3" t="s">
        <v>61</v>
      </c>
      <c r="U51" s="3" t="s">
        <v>365</v>
      </c>
    </row>
    <row r="52" ht="57" customHeight="1" spans="1:21">
      <c r="A52" s="3" t="s">
        <v>366</v>
      </c>
      <c r="B52" s="3" t="s">
        <v>367</v>
      </c>
      <c r="C52" s="3" t="s">
        <v>301</v>
      </c>
      <c r="D52" s="3" t="s">
        <v>99</v>
      </c>
      <c r="E52" s="3" t="s">
        <v>99</v>
      </c>
      <c r="F52" s="3" t="s">
        <v>77</v>
      </c>
      <c r="G52" s="3" t="s">
        <v>302</v>
      </c>
      <c r="H52" s="3" t="s">
        <v>368</v>
      </c>
      <c r="I52" s="3" t="s">
        <v>138</v>
      </c>
      <c r="J52" s="3" t="s">
        <v>369</v>
      </c>
      <c r="K52" s="9"/>
      <c r="L52" s="9" t="s">
        <v>55</v>
      </c>
      <c r="M52" s="3"/>
      <c r="N52" s="3"/>
      <c r="O52" s="3" t="s">
        <v>370</v>
      </c>
      <c r="P52" s="3" t="s">
        <v>57</v>
      </c>
      <c r="Q52" s="3" t="s">
        <v>58</v>
      </c>
      <c r="R52" s="3" t="s">
        <v>319</v>
      </c>
      <c r="S52" s="3" t="s">
        <v>60</v>
      </c>
      <c r="T52" s="3" t="s">
        <v>61</v>
      </c>
      <c r="U52" s="3" t="s">
        <v>365</v>
      </c>
    </row>
    <row r="53" ht="66" spans="1:21">
      <c r="A53" s="3" t="s">
        <v>371</v>
      </c>
      <c r="B53" s="3" t="s">
        <v>372</v>
      </c>
      <c r="C53" s="3" t="s">
        <v>301</v>
      </c>
      <c r="D53" s="3" t="s">
        <v>99</v>
      </c>
      <c r="E53" s="3" t="s">
        <v>99</v>
      </c>
      <c r="F53" s="3" t="s">
        <v>50</v>
      </c>
      <c r="G53" s="3" t="s">
        <v>302</v>
      </c>
      <c r="H53" s="3" t="s">
        <v>373</v>
      </c>
      <c r="I53" s="3" t="s">
        <v>138</v>
      </c>
      <c r="J53" s="3" t="s">
        <v>374</v>
      </c>
      <c r="K53" s="9"/>
      <c r="L53" s="9" t="s">
        <v>55</v>
      </c>
      <c r="M53" s="3"/>
      <c r="N53" s="3"/>
      <c r="O53" s="3" t="s">
        <v>375</v>
      </c>
      <c r="P53" s="3" t="s">
        <v>57</v>
      </c>
      <c r="Q53" s="3" t="s">
        <v>58</v>
      </c>
      <c r="R53" s="3" t="s">
        <v>376</v>
      </c>
      <c r="S53" s="3" t="s">
        <v>60</v>
      </c>
      <c r="T53" s="3" t="s">
        <v>61</v>
      </c>
      <c r="U53" s="3" t="s">
        <v>307</v>
      </c>
    </row>
    <row r="54" ht="66" spans="1:21">
      <c r="A54" s="3" t="s">
        <v>377</v>
      </c>
      <c r="B54" s="3" t="s">
        <v>378</v>
      </c>
      <c r="C54" s="3" t="s">
        <v>301</v>
      </c>
      <c r="D54" s="3" t="s">
        <v>49</v>
      </c>
      <c r="E54" s="3" t="s">
        <v>49</v>
      </c>
      <c r="F54" s="3" t="s">
        <v>379</v>
      </c>
      <c r="G54" s="3" t="s">
        <v>302</v>
      </c>
      <c r="H54" s="3" t="s">
        <v>380</v>
      </c>
      <c r="I54" s="3" t="s">
        <v>138</v>
      </c>
      <c r="J54" s="3" t="s">
        <v>381</v>
      </c>
      <c r="K54" s="9"/>
      <c r="L54" s="9" t="s">
        <v>55</v>
      </c>
      <c r="M54" s="3"/>
      <c r="N54" s="3"/>
      <c r="O54" s="3" t="s">
        <v>382</v>
      </c>
      <c r="P54" s="3" t="s">
        <v>57</v>
      </c>
      <c r="Q54" s="3" t="s">
        <v>58</v>
      </c>
      <c r="R54" s="3" t="s">
        <v>319</v>
      </c>
      <c r="S54" s="3" t="s">
        <v>60</v>
      </c>
      <c r="T54" s="3" t="s">
        <v>61</v>
      </c>
      <c r="U54" s="3" t="s">
        <v>307</v>
      </c>
    </row>
    <row r="55" ht="57" customHeight="1" spans="1:21">
      <c r="A55" s="3" t="s">
        <v>383</v>
      </c>
      <c r="B55" s="3" t="s">
        <v>384</v>
      </c>
      <c r="C55" s="3" t="s">
        <v>301</v>
      </c>
      <c r="D55" s="3" t="s">
        <v>99</v>
      </c>
      <c r="E55" s="3" t="s">
        <v>99</v>
      </c>
      <c r="F55" s="3" t="s">
        <v>385</v>
      </c>
      <c r="G55" s="3" t="s">
        <v>302</v>
      </c>
      <c r="H55" s="3" t="s">
        <v>386</v>
      </c>
      <c r="I55" s="3" t="s">
        <v>138</v>
      </c>
      <c r="J55" s="3" t="s">
        <v>387</v>
      </c>
      <c r="K55" s="9"/>
      <c r="L55" s="9" t="s">
        <v>55</v>
      </c>
      <c r="M55" s="3"/>
      <c r="N55" s="3"/>
      <c r="O55" s="3" t="s">
        <v>388</v>
      </c>
      <c r="P55" s="3" t="s">
        <v>57</v>
      </c>
      <c r="Q55" s="3" t="s">
        <v>58</v>
      </c>
      <c r="R55" s="3" t="s">
        <v>389</v>
      </c>
      <c r="S55" s="3" t="s">
        <v>60</v>
      </c>
      <c r="T55" s="3" t="s">
        <v>61</v>
      </c>
      <c r="U55" s="3" t="s">
        <v>390</v>
      </c>
    </row>
    <row r="56" ht="57" customHeight="1" spans="1:21">
      <c r="A56" s="3" t="s">
        <v>391</v>
      </c>
      <c r="B56" s="3" t="s">
        <v>392</v>
      </c>
      <c r="C56" s="3" t="s">
        <v>393</v>
      </c>
      <c r="D56" s="3" t="s">
        <v>49</v>
      </c>
      <c r="E56" s="3" t="s">
        <v>49</v>
      </c>
      <c r="F56" s="3" t="s">
        <v>50</v>
      </c>
      <c r="G56" s="3" t="s">
        <v>394</v>
      </c>
      <c r="H56" s="3" t="s">
        <v>395</v>
      </c>
      <c r="I56" s="3" t="s">
        <v>396</v>
      </c>
      <c r="J56" s="3" t="s">
        <v>397</v>
      </c>
      <c r="K56" s="9"/>
      <c r="L56" s="9" t="s">
        <v>55</v>
      </c>
      <c r="M56" s="3"/>
      <c r="N56" s="3"/>
      <c r="O56" s="3" t="s">
        <v>398</v>
      </c>
      <c r="P56" s="3" t="s">
        <v>57</v>
      </c>
      <c r="Q56" s="3" t="s">
        <v>58</v>
      </c>
      <c r="R56" s="3" t="s">
        <v>399</v>
      </c>
      <c r="S56" s="3" t="s">
        <v>60</v>
      </c>
      <c r="T56" s="3" t="s">
        <v>61</v>
      </c>
      <c r="U56" s="3" t="s">
        <v>400</v>
      </c>
    </row>
    <row r="57" ht="57" customHeight="1" spans="1:21">
      <c r="A57" s="3" t="s">
        <v>401</v>
      </c>
      <c r="B57" s="3" t="s">
        <v>402</v>
      </c>
      <c r="C57" s="3" t="s">
        <v>393</v>
      </c>
      <c r="D57" s="3" t="s">
        <v>99</v>
      </c>
      <c r="E57" s="3" t="s">
        <v>99</v>
      </c>
      <c r="F57" s="3" t="s">
        <v>84</v>
      </c>
      <c r="G57" s="3" t="s">
        <v>394</v>
      </c>
      <c r="H57" s="3" t="s">
        <v>403</v>
      </c>
      <c r="I57" s="3" t="s">
        <v>396</v>
      </c>
      <c r="J57" s="3" t="s">
        <v>404</v>
      </c>
      <c r="K57" s="9"/>
      <c r="L57" s="9" t="s">
        <v>55</v>
      </c>
      <c r="M57" s="3"/>
      <c r="N57" s="3"/>
      <c r="O57" s="3" t="s">
        <v>405</v>
      </c>
      <c r="P57" s="3" t="s">
        <v>57</v>
      </c>
      <c r="Q57" s="3" t="s">
        <v>58</v>
      </c>
      <c r="R57" s="3" t="s">
        <v>406</v>
      </c>
      <c r="S57" s="3" t="s">
        <v>60</v>
      </c>
      <c r="T57" s="3" t="s">
        <v>61</v>
      </c>
      <c r="U57" s="3" t="s">
        <v>400</v>
      </c>
    </row>
    <row r="58" ht="57" customHeight="1" spans="1:21">
      <c r="A58" s="3" t="s">
        <v>407</v>
      </c>
      <c r="B58" s="3" t="s">
        <v>408</v>
      </c>
      <c r="C58" s="3" t="s">
        <v>393</v>
      </c>
      <c r="D58" s="3" t="s">
        <v>99</v>
      </c>
      <c r="E58" s="3" t="s">
        <v>99</v>
      </c>
      <c r="F58" s="3" t="s">
        <v>50</v>
      </c>
      <c r="G58" s="3" t="s">
        <v>394</v>
      </c>
      <c r="H58" s="3" t="s">
        <v>409</v>
      </c>
      <c r="I58" s="3" t="s">
        <v>138</v>
      </c>
      <c r="J58" s="3" t="s">
        <v>410</v>
      </c>
      <c r="K58" s="9"/>
      <c r="L58" s="9" t="s">
        <v>55</v>
      </c>
      <c r="M58" s="3"/>
      <c r="N58" s="3"/>
      <c r="O58" s="3" t="s">
        <v>411</v>
      </c>
      <c r="P58" s="3" t="s">
        <v>57</v>
      </c>
      <c r="Q58" s="3" t="s">
        <v>58</v>
      </c>
      <c r="R58" s="3" t="s">
        <v>412</v>
      </c>
      <c r="S58" s="3" t="s">
        <v>60</v>
      </c>
      <c r="T58" s="3" t="s">
        <v>61</v>
      </c>
      <c r="U58" s="3" t="s">
        <v>400</v>
      </c>
    </row>
    <row r="59" ht="57" customHeight="1" spans="1:21">
      <c r="A59" s="3" t="s">
        <v>413</v>
      </c>
      <c r="B59" s="3" t="s">
        <v>414</v>
      </c>
      <c r="C59" s="3" t="s">
        <v>393</v>
      </c>
      <c r="D59" s="3" t="s">
        <v>49</v>
      </c>
      <c r="E59" s="3" t="s">
        <v>49</v>
      </c>
      <c r="F59" s="3" t="s">
        <v>166</v>
      </c>
      <c r="G59" s="3" t="s">
        <v>394</v>
      </c>
      <c r="H59" s="3" t="s">
        <v>415</v>
      </c>
      <c r="I59" s="3" t="s">
        <v>138</v>
      </c>
      <c r="J59" s="3" t="s">
        <v>416</v>
      </c>
      <c r="K59" s="9"/>
      <c r="L59" s="9" t="s">
        <v>55</v>
      </c>
      <c r="M59" s="3"/>
      <c r="N59" s="3"/>
      <c r="O59" s="3" t="s">
        <v>417</v>
      </c>
      <c r="P59" s="3" t="s">
        <v>57</v>
      </c>
      <c r="Q59" s="3" t="s">
        <v>58</v>
      </c>
      <c r="R59" s="3" t="s">
        <v>418</v>
      </c>
      <c r="S59" s="3" t="s">
        <v>60</v>
      </c>
      <c r="T59" s="3" t="s">
        <v>61</v>
      </c>
      <c r="U59" s="3" t="s">
        <v>400</v>
      </c>
    </row>
    <row r="60" ht="57" customHeight="1" spans="1:21">
      <c r="A60" s="3" t="s">
        <v>419</v>
      </c>
      <c r="B60" s="3" t="s">
        <v>420</v>
      </c>
      <c r="C60" s="3" t="s">
        <v>393</v>
      </c>
      <c r="D60" s="3" t="s">
        <v>49</v>
      </c>
      <c r="E60" s="3" t="s">
        <v>49</v>
      </c>
      <c r="F60" s="3" t="s">
        <v>50</v>
      </c>
      <c r="G60" s="3" t="s">
        <v>394</v>
      </c>
      <c r="H60" s="3" t="s">
        <v>421</v>
      </c>
      <c r="I60" s="3" t="s">
        <v>138</v>
      </c>
      <c r="J60" s="3" t="s">
        <v>422</v>
      </c>
      <c r="K60" s="9"/>
      <c r="L60" s="9" t="s">
        <v>55</v>
      </c>
      <c r="M60" s="3"/>
      <c r="N60" s="3"/>
      <c r="O60" s="3" t="s">
        <v>423</v>
      </c>
      <c r="P60" s="3" t="s">
        <v>57</v>
      </c>
      <c r="Q60" s="3" t="s">
        <v>58</v>
      </c>
      <c r="R60" s="3" t="s">
        <v>424</v>
      </c>
      <c r="S60" s="3" t="s">
        <v>60</v>
      </c>
      <c r="T60" s="3" t="s">
        <v>61</v>
      </c>
      <c r="U60" s="3" t="s">
        <v>400</v>
      </c>
    </row>
    <row r="61" ht="57" customHeight="1" spans="1:21">
      <c r="A61" s="3" t="s">
        <v>425</v>
      </c>
      <c r="B61" s="3" t="s">
        <v>426</v>
      </c>
      <c r="C61" s="3" t="s">
        <v>393</v>
      </c>
      <c r="D61" s="3" t="s">
        <v>49</v>
      </c>
      <c r="E61" s="3" t="s">
        <v>49</v>
      </c>
      <c r="F61" s="3" t="s">
        <v>120</v>
      </c>
      <c r="G61" s="3" t="s">
        <v>394</v>
      </c>
      <c r="H61" s="3" t="s">
        <v>427</v>
      </c>
      <c r="I61" s="3" t="s">
        <v>138</v>
      </c>
      <c r="J61" s="3" t="s">
        <v>428</v>
      </c>
      <c r="K61" s="9"/>
      <c r="L61" s="9" t="s">
        <v>55</v>
      </c>
      <c r="M61" s="3"/>
      <c r="N61" s="3"/>
      <c r="O61" s="3" t="s">
        <v>429</v>
      </c>
      <c r="P61" s="3" t="s">
        <v>57</v>
      </c>
      <c r="Q61" s="3" t="s">
        <v>58</v>
      </c>
      <c r="R61" s="3" t="s">
        <v>424</v>
      </c>
      <c r="S61" s="3" t="s">
        <v>60</v>
      </c>
      <c r="T61" s="3" t="s">
        <v>61</v>
      </c>
      <c r="U61" s="3" t="s">
        <v>400</v>
      </c>
    </row>
    <row r="62" ht="57" customHeight="1" spans="1:21">
      <c r="A62" s="3" t="s">
        <v>430</v>
      </c>
      <c r="B62" s="3" t="s">
        <v>431</v>
      </c>
      <c r="C62" s="3" t="s">
        <v>393</v>
      </c>
      <c r="D62" s="3" t="s">
        <v>99</v>
      </c>
      <c r="E62" s="3" t="s">
        <v>99</v>
      </c>
      <c r="F62" s="3" t="s">
        <v>50</v>
      </c>
      <c r="G62" s="3" t="s">
        <v>394</v>
      </c>
      <c r="H62" s="3" t="s">
        <v>432</v>
      </c>
      <c r="I62" s="3" t="s">
        <v>138</v>
      </c>
      <c r="J62" s="3" t="s">
        <v>433</v>
      </c>
      <c r="K62" s="9"/>
      <c r="L62" s="9" t="s">
        <v>55</v>
      </c>
      <c r="M62" s="3"/>
      <c r="N62" s="3"/>
      <c r="O62" s="3" t="s">
        <v>434</v>
      </c>
      <c r="P62" s="3" t="s">
        <v>57</v>
      </c>
      <c r="Q62" s="3" t="s">
        <v>58</v>
      </c>
      <c r="R62" s="3" t="s">
        <v>435</v>
      </c>
      <c r="S62" s="3" t="s">
        <v>60</v>
      </c>
      <c r="T62" s="3" t="s">
        <v>61</v>
      </c>
      <c r="U62" s="3" t="s">
        <v>400</v>
      </c>
    </row>
    <row r="63" ht="57" customHeight="1" spans="1:21">
      <c r="A63" s="3" t="s">
        <v>436</v>
      </c>
      <c r="B63" s="3" t="s">
        <v>437</v>
      </c>
      <c r="C63" s="3" t="s">
        <v>393</v>
      </c>
      <c r="D63" s="3" t="s">
        <v>49</v>
      </c>
      <c r="E63" s="3" t="s">
        <v>49</v>
      </c>
      <c r="F63" s="3" t="s">
        <v>150</v>
      </c>
      <c r="G63" s="3" t="s">
        <v>394</v>
      </c>
      <c r="H63" s="3" t="s">
        <v>438</v>
      </c>
      <c r="I63" s="3" t="s">
        <v>138</v>
      </c>
      <c r="J63" s="3" t="s">
        <v>439</v>
      </c>
      <c r="K63" s="9"/>
      <c r="L63" s="9" t="s">
        <v>55</v>
      </c>
      <c r="M63" s="3"/>
      <c r="N63" s="3"/>
      <c r="O63" s="3" t="s">
        <v>440</v>
      </c>
      <c r="P63" s="3" t="s">
        <v>57</v>
      </c>
      <c r="Q63" s="3" t="s">
        <v>58</v>
      </c>
      <c r="R63" s="3" t="s">
        <v>441</v>
      </c>
      <c r="S63" s="3" t="s">
        <v>60</v>
      </c>
      <c r="T63" s="3" t="s">
        <v>61</v>
      </c>
      <c r="U63" s="3" t="s">
        <v>400</v>
      </c>
    </row>
    <row r="64" ht="57" customHeight="1" spans="1:21">
      <c r="A64" s="3" t="s">
        <v>442</v>
      </c>
      <c r="B64" s="3" t="s">
        <v>443</v>
      </c>
      <c r="C64" s="3" t="s">
        <v>393</v>
      </c>
      <c r="D64" s="3" t="s">
        <v>49</v>
      </c>
      <c r="E64" s="3" t="s">
        <v>49</v>
      </c>
      <c r="F64" s="3" t="s">
        <v>65</v>
      </c>
      <c r="G64" s="3" t="s">
        <v>394</v>
      </c>
      <c r="H64" s="3" t="s">
        <v>444</v>
      </c>
      <c r="I64" s="3" t="s">
        <v>138</v>
      </c>
      <c r="J64" s="3" t="s">
        <v>445</v>
      </c>
      <c r="K64" s="9"/>
      <c r="L64" s="9" t="s">
        <v>55</v>
      </c>
      <c r="M64" s="3"/>
      <c r="N64" s="3"/>
      <c r="O64" s="3" t="s">
        <v>446</v>
      </c>
      <c r="P64" s="3" t="s">
        <v>57</v>
      </c>
      <c r="Q64" s="3" t="s">
        <v>58</v>
      </c>
      <c r="R64" s="3" t="s">
        <v>447</v>
      </c>
      <c r="S64" s="3" t="s">
        <v>60</v>
      </c>
      <c r="T64" s="3" t="s">
        <v>61</v>
      </c>
      <c r="U64" s="3" t="s">
        <v>400</v>
      </c>
    </row>
    <row r="65" ht="57" customHeight="1" spans="1:21">
      <c r="A65" s="3" t="s">
        <v>448</v>
      </c>
      <c r="B65" s="3" t="s">
        <v>449</v>
      </c>
      <c r="C65" s="3" t="s">
        <v>393</v>
      </c>
      <c r="D65" s="3" t="s">
        <v>49</v>
      </c>
      <c r="E65" s="3" t="s">
        <v>49</v>
      </c>
      <c r="F65" s="3" t="s">
        <v>92</v>
      </c>
      <c r="G65" s="3" t="s">
        <v>394</v>
      </c>
      <c r="H65" s="3" t="s">
        <v>450</v>
      </c>
      <c r="I65" s="3" t="s">
        <v>138</v>
      </c>
      <c r="J65" s="3" t="s">
        <v>451</v>
      </c>
      <c r="K65" s="9"/>
      <c r="L65" s="9" t="s">
        <v>55</v>
      </c>
      <c r="M65" s="3"/>
      <c r="N65" s="3"/>
      <c r="O65" s="3" t="s">
        <v>452</v>
      </c>
      <c r="P65" s="3" t="s">
        <v>57</v>
      </c>
      <c r="Q65" s="3" t="s">
        <v>58</v>
      </c>
      <c r="R65" s="3" t="s">
        <v>412</v>
      </c>
      <c r="S65" s="3" t="s">
        <v>60</v>
      </c>
      <c r="T65" s="3" t="s">
        <v>61</v>
      </c>
      <c r="U65" s="3" t="s">
        <v>400</v>
      </c>
    </row>
    <row r="66" ht="57" customHeight="1" spans="1:21">
      <c r="A66" s="3" t="s">
        <v>453</v>
      </c>
      <c r="B66" s="3" t="s">
        <v>454</v>
      </c>
      <c r="C66" s="3" t="s">
        <v>393</v>
      </c>
      <c r="D66" s="3" t="s">
        <v>99</v>
      </c>
      <c r="E66" s="3" t="s">
        <v>99</v>
      </c>
      <c r="F66" s="3" t="s">
        <v>84</v>
      </c>
      <c r="G66" s="3" t="s">
        <v>394</v>
      </c>
      <c r="H66" s="3" t="s">
        <v>455</v>
      </c>
      <c r="I66" s="3" t="s">
        <v>138</v>
      </c>
      <c r="J66" s="3" t="s">
        <v>456</v>
      </c>
      <c r="K66" s="9"/>
      <c r="L66" s="9" t="s">
        <v>55</v>
      </c>
      <c r="M66" s="3"/>
      <c r="N66" s="3"/>
      <c r="O66" s="3" t="s">
        <v>411</v>
      </c>
      <c r="P66" s="3" t="s">
        <v>57</v>
      </c>
      <c r="Q66" s="3" t="s">
        <v>58</v>
      </c>
      <c r="R66" s="3" t="s">
        <v>457</v>
      </c>
      <c r="S66" s="3" t="s">
        <v>60</v>
      </c>
      <c r="T66" s="3" t="s">
        <v>61</v>
      </c>
      <c r="U66" s="3" t="s">
        <v>400</v>
      </c>
    </row>
    <row r="67" ht="57" customHeight="1" spans="1:21">
      <c r="A67" s="3" t="s">
        <v>458</v>
      </c>
      <c r="B67" s="3" t="s">
        <v>459</v>
      </c>
      <c r="C67" s="3" t="s">
        <v>460</v>
      </c>
      <c r="D67" s="3" t="s">
        <v>99</v>
      </c>
      <c r="E67" s="3" t="s">
        <v>99</v>
      </c>
      <c r="F67" s="3" t="s">
        <v>461</v>
      </c>
      <c r="G67" s="3" t="s">
        <v>462</v>
      </c>
      <c r="H67" s="3" t="s">
        <v>463</v>
      </c>
      <c r="I67" s="3" t="s">
        <v>138</v>
      </c>
      <c r="J67" s="3" t="s">
        <v>464</v>
      </c>
      <c r="K67" s="9"/>
      <c r="L67" s="9" t="s">
        <v>55</v>
      </c>
      <c r="M67" s="3"/>
      <c r="N67" s="3"/>
      <c r="O67" s="3" t="s">
        <v>465</v>
      </c>
      <c r="P67" s="3" t="s">
        <v>57</v>
      </c>
      <c r="Q67" s="3" t="s">
        <v>58</v>
      </c>
      <c r="R67" s="3" t="s">
        <v>466</v>
      </c>
      <c r="S67" s="3" t="s">
        <v>60</v>
      </c>
      <c r="T67" s="3" t="s">
        <v>61</v>
      </c>
      <c r="U67" s="3" t="s">
        <v>467</v>
      </c>
    </row>
    <row r="68" ht="57" customHeight="1" spans="1:21">
      <c r="A68" s="3" t="s">
        <v>468</v>
      </c>
      <c r="B68" s="3" t="s">
        <v>469</v>
      </c>
      <c r="C68" s="3" t="s">
        <v>460</v>
      </c>
      <c r="D68" s="3" t="s">
        <v>49</v>
      </c>
      <c r="E68" s="3" t="s">
        <v>49</v>
      </c>
      <c r="F68" s="3" t="s">
        <v>92</v>
      </c>
      <c r="G68" s="3" t="s">
        <v>462</v>
      </c>
      <c r="H68" s="3" t="s">
        <v>470</v>
      </c>
      <c r="I68" s="3" t="s">
        <v>138</v>
      </c>
      <c r="J68" s="3" t="s">
        <v>471</v>
      </c>
      <c r="K68" s="9"/>
      <c r="L68" s="9" t="s">
        <v>55</v>
      </c>
      <c r="M68" s="3"/>
      <c r="N68" s="3"/>
      <c r="O68" s="3" t="s">
        <v>472</v>
      </c>
      <c r="P68" s="3" t="s">
        <v>57</v>
      </c>
      <c r="Q68" s="3" t="s">
        <v>58</v>
      </c>
      <c r="R68" s="3" t="s">
        <v>473</v>
      </c>
      <c r="S68" s="3" t="s">
        <v>60</v>
      </c>
      <c r="T68" s="3" t="s">
        <v>61</v>
      </c>
      <c r="U68" s="3" t="s">
        <v>467</v>
      </c>
    </row>
    <row r="69" ht="57" customHeight="1" spans="1:21">
      <c r="A69" s="3" t="s">
        <v>474</v>
      </c>
      <c r="B69" s="3" t="s">
        <v>475</v>
      </c>
      <c r="C69" s="3" t="s">
        <v>460</v>
      </c>
      <c r="D69" s="3" t="s">
        <v>99</v>
      </c>
      <c r="E69" s="3" t="s">
        <v>99</v>
      </c>
      <c r="F69" s="3" t="s">
        <v>379</v>
      </c>
      <c r="G69" s="3" t="s">
        <v>462</v>
      </c>
      <c r="H69" s="3" t="s">
        <v>476</v>
      </c>
      <c r="I69" s="3" t="s">
        <v>138</v>
      </c>
      <c r="J69" s="3" t="s">
        <v>477</v>
      </c>
      <c r="K69" s="9"/>
      <c r="L69" s="9" t="s">
        <v>55</v>
      </c>
      <c r="M69" s="3"/>
      <c r="N69" s="3"/>
      <c r="O69" s="3" t="s">
        <v>478</v>
      </c>
      <c r="P69" s="3" t="s">
        <v>57</v>
      </c>
      <c r="Q69" s="3" t="s">
        <v>58</v>
      </c>
      <c r="R69" s="3" t="s">
        <v>479</v>
      </c>
      <c r="S69" s="3" t="s">
        <v>60</v>
      </c>
      <c r="T69" s="3" t="s">
        <v>61</v>
      </c>
      <c r="U69" s="3" t="s">
        <v>467</v>
      </c>
    </row>
    <row r="70" ht="57" customHeight="1" spans="1:21">
      <c r="A70" s="3" t="s">
        <v>480</v>
      </c>
      <c r="B70" s="3" t="s">
        <v>481</v>
      </c>
      <c r="C70" s="3" t="s">
        <v>460</v>
      </c>
      <c r="D70" s="3" t="s">
        <v>99</v>
      </c>
      <c r="E70" s="3" t="s">
        <v>99</v>
      </c>
      <c r="F70" s="3" t="s">
        <v>65</v>
      </c>
      <c r="G70" s="3" t="s">
        <v>462</v>
      </c>
      <c r="H70" s="3" t="s">
        <v>482</v>
      </c>
      <c r="I70" s="3" t="s">
        <v>138</v>
      </c>
      <c r="J70" s="3" t="s">
        <v>483</v>
      </c>
      <c r="K70" s="9"/>
      <c r="L70" s="9" t="s">
        <v>55</v>
      </c>
      <c r="M70" s="3"/>
      <c r="N70" s="3"/>
      <c r="O70" s="3" t="s">
        <v>484</v>
      </c>
      <c r="P70" s="3" t="s">
        <v>57</v>
      </c>
      <c r="Q70" s="3" t="s">
        <v>58</v>
      </c>
      <c r="R70" s="3" t="s">
        <v>485</v>
      </c>
      <c r="S70" s="3" t="s">
        <v>60</v>
      </c>
      <c r="T70" s="3" t="s">
        <v>61</v>
      </c>
      <c r="U70" s="3" t="s">
        <v>467</v>
      </c>
    </row>
    <row r="71" ht="57" customHeight="1" spans="1:21">
      <c r="A71" s="3" t="s">
        <v>486</v>
      </c>
      <c r="B71" s="3" t="s">
        <v>487</v>
      </c>
      <c r="C71" s="3" t="s">
        <v>460</v>
      </c>
      <c r="D71" s="3" t="s">
        <v>49</v>
      </c>
      <c r="E71" s="3" t="s">
        <v>49</v>
      </c>
      <c r="F71" s="3" t="s">
        <v>92</v>
      </c>
      <c r="G71" s="3" t="s">
        <v>462</v>
      </c>
      <c r="H71" s="3" t="s">
        <v>488</v>
      </c>
      <c r="I71" s="3" t="s">
        <v>138</v>
      </c>
      <c r="J71" s="3" t="s">
        <v>489</v>
      </c>
      <c r="K71" s="9"/>
      <c r="L71" s="9" t="s">
        <v>55</v>
      </c>
      <c r="M71" s="3"/>
      <c r="N71" s="3"/>
      <c r="O71" s="3" t="s">
        <v>490</v>
      </c>
      <c r="P71" s="3" t="s">
        <v>57</v>
      </c>
      <c r="Q71" s="3" t="s">
        <v>58</v>
      </c>
      <c r="R71" s="3" t="s">
        <v>491</v>
      </c>
      <c r="S71" s="3" t="s">
        <v>60</v>
      </c>
      <c r="T71" s="3" t="s">
        <v>61</v>
      </c>
      <c r="U71" s="3" t="s">
        <v>132</v>
      </c>
    </row>
    <row r="72" ht="57" customHeight="1" spans="1:21">
      <c r="A72" s="3" t="s">
        <v>492</v>
      </c>
      <c r="B72" s="3" t="s">
        <v>493</v>
      </c>
      <c r="C72" s="3" t="s">
        <v>494</v>
      </c>
      <c r="D72" s="3" t="s">
        <v>49</v>
      </c>
      <c r="E72" s="3" t="s">
        <v>49</v>
      </c>
      <c r="F72" s="3" t="s">
        <v>120</v>
      </c>
      <c r="G72" s="3" t="s">
        <v>495</v>
      </c>
      <c r="H72" s="3" t="s">
        <v>496</v>
      </c>
      <c r="I72" s="3" t="s">
        <v>138</v>
      </c>
      <c r="J72" s="3" t="s">
        <v>497</v>
      </c>
      <c r="K72" s="9"/>
      <c r="L72" s="9" t="s">
        <v>55</v>
      </c>
      <c r="M72" s="3"/>
      <c r="N72" s="3"/>
      <c r="O72" s="3" t="s">
        <v>498</v>
      </c>
      <c r="P72" s="3" t="s">
        <v>57</v>
      </c>
      <c r="Q72" s="3" t="s">
        <v>58</v>
      </c>
      <c r="R72" s="3" t="s">
        <v>499</v>
      </c>
      <c r="S72" s="3" t="s">
        <v>60</v>
      </c>
      <c r="T72" s="3" t="s">
        <v>61</v>
      </c>
      <c r="U72" s="3" t="s">
        <v>500</v>
      </c>
    </row>
    <row r="73" ht="57" customHeight="1" spans="1:21">
      <c r="A73" s="3" t="s">
        <v>501</v>
      </c>
      <c r="B73" s="3" t="s">
        <v>502</v>
      </c>
      <c r="C73" s="3" t="s">
        <v>494</v>
      </c>
      <c r="D73" s="3" t="s">
        <v>99</v>
      </c>
      <c r="E73" s="3" t="s">
        <v>99</v>
      </c>
      <c r="F73" s="3" t="s">
        <v>84</v>
      </c>
      <c r="G73" s="3" t="s">
        <v>495</v>
      </c>
      <c r="H73" s="3" t="s">
        <v>503</v>
      </c>
      <c r="I73" s="3" t="s">
        <v>138</v>
      </c>
      <c r="J73" s="3" t="s">
        <v>504</v>
      </c>
      <c r="K73" s="9"/>
      <c r="L73" s="9" t="s">
        <v>55</v>
      </c>
      <c r="M73" s="3"/>
      <c r="N73" s="3"/>
      <c r="O73" s="3" t="s">
        <v>505</v>
      </c>
      <c r="P73" s="3" t="s">
        <v>57</v>
      </c>
      <c r="Q73" s="3" t="s">
        <v>58</v>
      </c>
      <c r="R73" s="3" t="s">
        <v>499</v>
      </c>
      <c r="S73" s="3" t="s">
        <v>60</v>
      </c>
      <c r="T73" s="3" t="s">
        <v>61</v>
      </c>
      <c r="U73" s="3" t="s">
        <v>500</v>
      </c>
    </row>
    <row r="74" ht="57" customHeight="1" spans="1:21">
      <c r="A74" s="3" t="s">
        <v>506</v>
      </c>
      <c r="B74" s="3" t="s">
        <v>507</v>
      </c>
      <c r="C74" s="3" t="s">
        <v>494</v>
      </c>
      <c r="D74" s="3" t="s">
        <v>49</v>
      </c>
      <c r="E74" s="3" t="s">
        <v>49</v>
      </c>
      <c r="F74" s="3" t="s">
        <v>92</v>
      </c>
      <c r="G74" s="3" t="s">
        <v>495</v>
      </c>
      <c r="H74" s="3" t="s">
        <v>508</v>
      </c>
      <c r="I74" s="3" t="s">
        <v>138</v>
      </c>
      <c r="J74" s="3" t="s">
        <v>509</v>
      </c>
      <c r="K74" s="9"/>
      <c r="L74" s="9" t="s">
        <v>55</v>
      </c>
      <c r="M74" s="3"/>
      <c r="N74" s="3"/>
      <c r="O74" s="3" t="s">
        <v>510</v>
      </c>
      <c r="P74" s="3" t="s">
        <v>57</v>
      </c>
      <c r="Q74" s="3" t="s">
        <v>58</v>
      </c>
      <c r="R74" s="3" t="s">
        <v>511</v>
      </c>
      <c r="S74" s="3" t="s">
        <v>60</v>
      </c>
      <c r="T74" s="3" t="s">
        <v>61</v>
      </c>
      <c r="U74" s="3" t="s">
        <v>243</v>
      </c>
    </row>
  </sheetData>
  <mergeCells count="2">
    <mergeCell ref="A1:U1"/>
    <mergeCell ref="A2:U2"/>
  </mergeCells>
  <dataValidations count="1">
    <dataValidation type="list" sqref="L4:L74">
      <formula1>"Not Executed,In Progress,Blocked,Pending,Failed,Passed,Deferred"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pane ySplit="3" topLeftCell="A4" activePane="bottomLeft" state="frozen"/>
      <selection/>
      <selection pane="bottomLeft" activeCell="A1" sqref="A1:O1"/>
    </sheetView>
  </sheetViews>
  <sheetFormatPr defaultColWidth="9" defaultRowHeight="13.8"/>
  <cols>
    <col min="1" max="1" width="13.8916666666667" customWidth="1"/>
    <col min="2" max="2" width="22.7833333333333" customWidth="1"/>
    <col min="3" max="3" width="40.5583333333333" customWidth="1"/>
    <col min="4" max="4" width="56.6666666666667" customWidth="1"/>
    <col min="5" max="5" width="20" customWidth="1"/>
    <col min="6" max="6" width="30.5583333333333" customWidth="1"/>
    <col min="7" max="7" width="22.2166666666667" customWidth="1"/>
    <col min="8" max="8" width="9.44166666666667" customWidth="1"/>
    <col min="9" max="9" width="25.5583333333333" customWidth="1"/>
    <col min="10" max="10" width="32.2166666666667" customWidth="1"/>
    <col min="11" max="11" width="23.8916666666667" customWidth="1"/>
    <col min="12" max="13" width="10.5583333333333" customWidth="1"/>
    <col min="14" max="14" width="12.7833333333333" customWidth="1"/>
    <col min="15" max="15" width="31.1083333333333" customWidth="1"/>
  </cols>
  <sheetData>
    <row r="1" ht="25.5" customHeight="1" spans="1:15">
      <c r="A1" s="1" t="s">
        <v>512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.25" customHeight="1" spans="1:15">
      <c r="A2" s="4" t="s">
        <v>513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37.5" customHeight="1" spans="1:15">
      <c r="A3" s="2" t="s">
        <v>514</v>
      </c>
      <c r="B3" s="2" t="s">
        <v>515</v>
      </c>
      <c r="C3" s="2" t="s">
        <v>516</v>
      </c>
      <c r="D3" s="2" t="s">
        <v>42</v>
      </c>
      <c r="E3" s="2" t="s">
        <v>517</v>
      </c>
      <c r="F3" s="2" t="s">
        <v>518</v>
      </c>
      <c r="G3" s="2" t="s">
        <v>519</v>
      </c>
      <c r="H3" s="2" t="s">
        <v>520</v>
      </c>
      <c r="I3" s="2" t="s">
        <v>521</v>
      </c>
      <c r="J3" s="2" t="s">
        <v>522</v>
      </c>
      <c r="K3" s="2" t="s">
        <v>41</v>
      </c>
      <c r="L3" s="2" t="s">
        <v>523</v>
      </c>
      <c r="M3" s="2" t="s">
        <v>524</v>
      </c>
      <c r="N3" s="2" t="s">
        <v>525</v>
      </c>
      <c r="O3" s="2" t="s">
        <v>526</v>
      </c>
    </row>
    <row r="4" ht="57" customHeight="1" spans="1:15">
      <c r="A4" s="3" t="s">
        <v>527</v>
      </c>
      <c r="B4" s="3" t="s">
        <v>48</v>
      </c>
      <c r="C4" s="3" t="s">
        <v>528</v>
      </c>
      <c r="D4" s="3" t="s">
        <v>529</v>
      </c>
      <c r="E4" s="3" t="s">
        <v>530</v>
      </c>
      <c r="F4" s="3" t="s">
        <v>531</v>
      </c>
      <c r="G4" s="3" t="s">
        <v>532</v>
      </c>
      <c r="H4" s="3" t="s">
        <v>533</v>
      </c>
      <c r="I4" s="3" t="s">
        <v>534</v>
      </c>
      <c r="J4" s="3" t="s">
        <v>535</v>
      </c>
      <c r="K4" s="3" t="s">
        <v>536</v>
      </c>
      <c r="L4" s="3">
        <f>COUNTIF('Test Cases'!$C$4:$C$74,B4)</f>
        <v>11</v>
      </c>
      <c r="M4" s="3">
        <f>COUNTIFS('Test Cases'!$C$4:$C$74,B4,'Test Cases'!$L$4:$L$74,"Passed")</f>
        <v>0</v>
      </c>
      <c r="N4" s="3">
        <f t="shared" ref="N4:N11" si="0">L4-M4</f>
        <v>11</v>
      </c>
      <c r="O4" s="3" t="s">
        <v>537</v>
      </c>
    </row>
    <row r="5" ht="57" customHeight="1" spans="1:15">
      <c r="A5" s="3" t="s">
        <v>538</v>
      </c>
      <c r="B5" s="3" t="s">
        <v>135</v>
      </c>
      <c r="C5" s="3" t="s">
        <v>539</v>
      </c>
      <c r="D5" s="3" t="s">
        <v>203</v>
      </c>
      <c r="E5" s="3" t="s">
        <v>530</v>
      </c>
      <c r="F5" s="3" t="s">
        <v>540</v>
      </c>
      <c r="G5" s="3" t="s">
        <v>541</v>
      </c>
      <c r="H5" s="3" t="s">
        <v>533</v>
      </c>
      <c r="I5" s="3" t="s">
        <v>534</v>
      </c>
      <c r="J5" s="3" t="s">
        <v>535</v>
      </c>
      <c r="K5" s="3" t="s">
        <v>536</v>
      </c>
      <c r="L5" s="3">
        <f>COUNTIF('Test Cases'!$C$4:$C$74,B5)</f>
        <v>12</v>
      </c>
      <c r="M5" s="3">
        <f>COUNTIFS('Test Cases'!$C$4:$C$74,B5,'Test Cases'!$L$4:$L$74,"Passed")</f>
        <v>0</v>
      </c>
      <c r="N5" s="3">
        <f t="shared" si="0"/>
        <v>12</v>
      </c>
      <c r="O5" s="3" t="s">
        <v>537</v>
      </c>
    </row>
    <row r="6" ht="57" customHeight="1" spans="1:15">
      <c r="A6" s="3" t="s">
        <v>542</v>
      </c>
      <c r="B6" s="3" t="s">
        <v>206</v>
      </c>
      <c r="C6" s="3" t="s">
        <v>543</v>
      </c>
      <c r="D6" s="3" t="s">
        <v>544</v>
      </c>
      <c r="E6" s="3" t="s">
        <v>530</v>
      </c>
      <c r="F6" s="3" t="s">
        <v>545</v>
      </c>
      <c r="G6" s="3" t="s">
        <v>546</v>
      </c>
      <c r="H6" s="3" t="s">
        <v>533</v>
      </c>
      <c r="I6" s="3" t="s">
        <v>534</v>
      </c>
      <c r="J6" s="3" t="s">
        <v>535</v>
      </c>
      <c r="K6" s="3" t="s">
        <v>536</v>
      </c>
      <c r="L6" s="3">
        <f>COUNTIF('Test Cases'!$C$4:$C$74,B6)</f>
        <v>9</v>
      </c>
      <c r="M6" s="3">
        <f>COUNTIFS('Test Cases'!$C$4:$C$74,B6,'Test Cases'!$L$4:$L$74,"Passed")</f>
        <v>0</v>
      </c>
      <c r="N6" s="3">
        <f t="shared" si="0"/>
        <v>9</v>
      </c>
      <c r="O6" s="3" t="s">
        <v>537</v>
      </c>
    </row>
    <row r="7" ht="57" customHeight="1" spans="1:15">
      <c r="A7" s="3" t="s">
        <v>547</v>
      </c>
      <c r="B7" s="3" t="s">
        <v>264</v>
      </c>
      <c r="C7" s="3" t="s">
        <v>548</v>
      </c>
      <c r="D7" s="3" t="s">
        <v>549</v>
      </c>
      <c r="E7" s="3" t="s">
        <v>550</v>
      </c>
      <c r="F7" s="3" t="s">
        <v>551</v>
      </c>
      <c r="G7" s="3" t="s">
        <v>552</v>
      </c>
      <c r="H7" s="3" t="s">
        <v>533</v>
      </c>
      <c r="I7" s="3" t="s">
        <v>534</v>
      </c>
      <c r="J7" s="3" t="s">
        <v>535</v>
      </c>
      <c r="K7" s="3" t="s">
        <v>536</v>
      </c>
      <c r="L7" s="3">
        <f>COUNTIF('Test Cases'!$C$4:$C$74,B7)</f>
        <v>5</v>
      </c>
      <c r="M7" s="3">
        <f>COUNTIFS('Test Cases'!$C$4:$C$74,B7,'Test Cases'!$L$4:$L$74,"Passed")</f>
        <v>0</v>
      </c>
      <c r="N7" s="3">
        <f t="shared" si="0"/>
        <v>5</v>
      </c>
      <c r="O7" s="3" t="s">
        <v>537</v>
      </c>
    </row>
    <row r="8" ht="57" customHeight="1" spans="1:15">
      <c r="A8" s="3" t="s">
        <v>553</v>
      </c>
      <c r="B8" s="3" t="s">
        <v>301</v>
      </c>
      <c r="C8" s="3" t="s">
        <v>554</v>
      </c>
      <c r="D8" s="3" t="s">
        <v>555</v>
      </c>
      <c r="E8" s="3" t="s">
        <v>530</v>
      </c>
      <c r="F8" s="3" t="s">
        <v>556</v>
      </c>
      <c r="G8" s="3" t="s">
        <v>557</v>
      </c>
      <c r="H8" s="3" t="s">
        <v>533</v>
      </c>
      <c r="I8" s="3" t="s">
        <v>534</v>
      </c>
      <c r="J8" s="3" t="s">
        <v>535</v>
      </c>
      <c r="K8" s="3" t="s">
        <v>536</v>
      </c>
      <c r="L8" s="3">
        <f>COUNTIF('Test Cases'!$C$4:$C$74,B8)</f>
        <v>15</v>
      </c>
      <c r="M8" s="3">
        <f>COUNTIFS('Test Cases'!$C$4:$C$74,B8,'Test Cases'!$L$4:$L$74,"Passed")</f>
        <v>0</v>
      </c>
      <c r="N8" s="3">
        <f t="shared" si="0"/>
        <v>15</v>
      </c>
      <c r="O8" s="3" t="s">
        <v>537</v>
      </c>
    </row>
    <row r="9" ht="57" customHeight="1" spans="1:15">
      <c r="A9" s="3" t="s">
        <v>558</v>
      </c>
      <c r="B9" s="3" t="s">
        <v>393</v>
      </c>
      <c r="C9" s="3" t="s">
        <v>559</v>
      </c>
      <c r="D9" s="3" t="s">
        <v>560</v>
      </c>
      <c r="E9" s="3" t="s">
        <v>530</v>
      </c>
      <c r="F9" s="3" t="s">
        <v>561</v>
      </c>
      <c r="G9" s="3" t="s">
        <v>562</v>
      </c>
      <c r="H9" s="3" t="s">
        <v>533</v>
      </c>
      <c r="I9" s="3" t="s">
        <v>534</v>
      </c>
      <c r="J9" s="3" t="s">
        <v>535</v>
      </c>
      <c r="K9" s="3" t="s">
        <v>536</v>
      </c>
      <c r="L9" s="3">
        <f>COUNTIF('Test Cases'!$C$4:$C$74,B9)</f>
        <v>11</v>
      </c>
      <c r="M9" s="3">
        <f>COUNTIFS('Test Cases'!$C$4:$C$74,B9,'Test Cases'!$L$4:$L$74,"Passed")</f>
        <v>0</v>
      </c>
      <c r="N9" s="3">
        <f t="shared" si="0"/>
        <v>11</v>
      </c>
      <c r="O9" s="3" t="s">
        <v>537</v>
      </c>
    </row>
    <row r="10" ht="57" customHeight="1" spans="1:15">
      <c r="A10" s="3" t="s">
        <v>563</v>
      </c>
      <c r="B10" s="3" t="s">
        <v>460</v>
      </c>
      <c r="C10" s="3" t="s">
        <v>564</v>
      </c>
      <c r="D10" s="3" t="s">
        <v>565</v>
      </c>
      <c r="E10" s="3" t="s">
        <v>566</v>
      </c>
      <c r="F10" s="3" t="s">
        <v>567</v>
      </c>
      <c r="G10" s="3" t="s">
        <v>568</v>
      </c>
      <c r="H10" s="3" t="s">
        <v>533</v>
      </c>
      <c r="I10" s="3" t="s">
        <v>534</v>
      </c>
      <c r="J10" s="3" t="s">
        <v>535</v>
      </c>
      <c r="K10" s="3" t="s">
        <v>536</v>
      </c>
      <c r="L10" s="3">
        <f>COUNTIF('Test Cases'!$C$4:$C$74,B10)</f>
        <v>5</v>
      </c>
      <c r="M10" s="3">
        <f>COUNTIFS('Test Cases'!$C$4:$C$74,B10,'Test Cases'!$L$4:$L$74,"Passed")</f>
        <v>0</v>
      </c>
      <c r="N10" s="3">
        <f t="shared" si="0"/>
        <v>5</v>
      </c>
      <c r="O10" s="3" t="s">
        <v>537</v>
      </c>
    </row>
    <row r="11" ht="57" customHeight="1" spans="1:15">
      <c r="A11" s="3" t="s">
        <v>569</v>
      </c>
      <c r="B11" s="3" t="s">
        <v>494</v>
      </c>
      <c r="C11" s="3" t="s">
        <v>570</v>
      </c>
      <c r="D11" s="3" t="s">
        <v>571</v>
      </c>
      <c r="E11" s="3" t="s">
        <v>530</v>
      </c>
      <c r="F11" s="3" t="s">
        <v>572</v>
      </c>
      <c r="G11" s="3" t="s">
        <v>573</v>
      </c>
      <c r="H11" s="3" t="s">
        <v>533</v>
      </c>
      <c r="I11" s="3" t="s">
        <v>534</v>
      </c>
      <c r="J11" s="3" t="s">
        <v>535</v>
      </c>
      <c r="K11" s="3" t="s">
        <v>536</v>
      </c>
      <c r="L11" s="3">
        <f>COUNTIF('Test Cases'!$C$4:$C$74,B11)</f>
        <v>3</v>
      </c>
      <c r="M11" s="3">
        <f>COUNTIFS('Test Cases'!$C$4:$C$74,B11,'Test Cases'!$L$4:$L$74,"Passed")</f>
        <v>0</v>
      </c>
      <c r="N11" s="3">
        <f t="shared" si="0"/>
        <v>3</v>
      </c>
      <c r="O11" s="3" t="s">
        <v>537</v>
      </c>
    </row>
  </sheetData>
  <mergeCells count="2">
    <mergeCell ref="A1:O1"/>
    <mergeCell ref="A2:O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3.8" outlineLevelCol="5"/>
  <cols>
    <col min="1" max="1" width="26.6666666666667" customWidth="1"/>
    <col min="2" max="2" width="11.6666666666667" customWidth="1"/>
    <col min="3" max="3" width="40" customWidth="1"/>
    <col min="4" max="4" width="34.4416666666667" customWidth="1"/>
    <col min="5" max="5" width="33.3333333333333" customWidth="1"/>
    <col min="6" max="6" width="30" customWidth="1"/>
  </cols>
  <sheetData>
    <row r="1" ht="25.5" customHeight="1" spans="1:6">
      <c r="A1" s="1" t="s">
        <v>574</v>
      </c>
      <c r="B1" s="1"/>
      <c r="C1" s="1"/>
      <c r="D1" s="1"/>
      <c r="E1" s="1"/>
      <c r="F1" s="1"/>
    </row>
    <row r="2" ht="21" customHeight="1" spans="1:6">
      <c r="A2" s="4" t="s">
        <v>575</v>
      </c>
      <c r="B2" s="4"/>
      <c r="C2" s="4"/>
      <c r="D2" s="4"/>
      <c r="E2" s="4"/>
      <c r="F2" s="4"/>
    </row>
    <row r="3" ht="37.5" customHeight="1" spans="1:6">
      <c r="A3" s="2" t="s">
        <v>576</v>
      </c>
      <c r="B3" s="2" t="s">
        <v>577</v>
      </c>
      <c r="C3" s="2" t="s">
        <v>578</v>
      </c>
      <c r="D3" s="2" t="s">
        <v>579</v>
      </c>
      <c r="E3" s="2" t="s">
        <v>580</v>
      </c>
      <c r="F3" s="2" t="s">
        <v>581</v>
      </c>
    </row>
    <row r="4" ht="57" customHeight="1" spans="1:6">
      <c r="A4" s="3" t="s">
        <v>582</v>
      </c>
      <c r="B4" s="3">
        <f>COUNTA('Test Cases'!A4:A74)</f>
        <v>71</v>
      </c>
      <c r="C4" s="3" t="s">
        <v>583</v>
      </c>
      <c r="D4" s="3" t="s">
        <v>584</v>
      </c>
      <c r="E4" s="3" t="s">
        <v>585</v>
      </c>
      <c r="F4" s="3" t="s">
        <v>586</v>
      </c>
    </row>
    <row r="5" ht="57" customHeight="1" spans="1:6">
      <c r="A5" s="3" t="s">
        <v>587</v>
      </c>
      <c r="B5" s="3">
        <f>COUNTIF('Test Cases'!L4:L74,"Passed")</f>
        <v>0</v>
      </c>
      <c r="C5" s="3" t="s">
        <v>588</v>
      </c>
      <c r="D5" s="3" t="s">
        <v>589</v>
      </c>
      <c r="E5" s="3" t="s">
        <v>590</v>
      </c>
      <c r="F5" s="3" t="s">
        <v>591</v>
      </c>
    </row>
    <row r="6" ht="57" customHeight="1" spans="1:6">
      <c r="A6" s="3" t="s">
        <v>55</v>
      </c>
      <c r="B6" s="3">
        <f>COUNTIF('Test Cases'!L4:L74,"Not Executed")</f>
        <v>71</v>
      </c>
      <c r="C6" s="3" t="s">
        <v>592</v>
      </c>
      <c r="D6" s="3" t="s">
        <v>593</v>
      </c>
      <c r="E6" s="3" t="s">
        <v>594</v>
      </c>
      <c r="F6" s="3" t="s">
        <v>595</v>
      </c>
    </row>
    <row r="7" ht="57" customHeight="1" spans="1:6">
      <c r="A7" s="3" t="s">
        <v>596</v>
      </c>
      <c r="B7" s="3">
        <f>COUNTIF('Test Cases'!L4:L74,"Blocked")</f>
        <v>0</v>
      </c>
      <c r="C7" s="3" t="s">
        <v>597</v>
      </c>
      <c r="D7" s="3" t="s">
        <v>598</v>
      </c>
      <c r="E7" s="3" t="s">
        <v>599</v>
      </c>
      <c r="F7" s="3" t="s">
        <v>600</v>
      </c>
    </row>
    <row r="8" ht="57" customHeight="1" spans="1:6">
      <c r="A8" s="3" t="s">
        <v>601</v>
      </c>
      <c r="B8" s="3">
        <f>COUNTIF('Test Cases'!L4:L74,"Failed")</f>
        <v>0</v>
      </c>
      <c r="C8" s="3" t="s">
        <v>602</v>
      </c>
      <c r="D8" s="3" t="s">
        <v>598</v>
      </c>
      <c r="E8" s="3" t="s">
        <v>603</v>
      </c>
      <c r="F8" s="3" t="s">
        <v>604</v>
      </c>
    </row>
    <row r="9" ht="57" customHeight="1" spans="1:6">
      <c r="A9" s="3" t="s">
        <v>605</v>
      </c>
      <c r="B9" s="6">
        <f>IFERROR(B5/B4,0)</f>
        <v>0</v>
      </c>
      <c r="C9" s="3" t="s">
        <v>606</v>
      </c>
      <c r="D9" s="3" t="s">
        <v>607</v>
      </c>
      <c r="E9" s="3" t="s">
        <v>608</v>
      </c>
      <c r="F9" s="3" t="s">
        <v>609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pane ySplit="3" topLeftCell="A4" activePane="bottomLeft" state="frozen"/>
      <selection/>
      <selection pane="bottomLeft" activeCell="A1" sqref="A1:M1"/>
    </sheetView>
  </sheetViews>
  <sheetFormatPr defaultColWidth="9" defaultRowHeight="13.8" outlineLevelRow="4"/>
  <cols>
    <col min="1" max="1" width="19.4416666666667" customWidth="1"/>
    <col min="2" max="2" width="14.4416666666667" customWidth="1"/>
    <col min="3" max="3" width="25.5583333333333" customWidth="1"/>
    <col min="4" max="4" width="27.7833333333333" customWidth="1"/>
    <col min="5" max="5" width="13.3333333333333" customWidth="1"/>
    <col min="6" max="6" width="26.6666666666667" customWidth="1"/>
    <col min="7" max="7" width="37.7833333333333" customWidth="1"/>
    <col min="8" max="8" width="14.4416666666667" customWidth="1"/>
    <col min="9" max="9" width="13.3333333333333" customWidth="1"/>
    <col min="10" max="10" width="14.4416666666667" customWidth="1"/>
    <col min="11" max="11" width="40" customWidth="1"/>
    <col min="12" max="12" width="20" customWidth="1"/>
    <col min="13" max="13" width="37.7833333333333" customWidth="1"/>
  </cols>
  <sheetData>
    <row r="1" ht="25.5" customHeight="1" spans="1:13">
      <c r="A1" s="1" t="s">
        <v>610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1.75" customHeight="1" spans="1:13">
      <c r="A2" s="4" t="s">
        <v>611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37.5" customHeight="1" spans="1:13">
      <c r="A3" s="2" t="s">
        <v>612</v>
      </c>
      <c r="B3" s="2" t="s">
        <v>613</v>
      </c>
      <c r="C3" s="2" t="s">
        <v>614</v>
      </c>
      <c r="D3" s="2" t="s">
        <v>615</v>
      </c>
      <c r="E3" s="2" t="s">
        <v>616</v>
      </c>
      <c r="F3" s="2" t="s">
        <v>617</v>
      </c>
      <c r="G3" s="2" t="s">
        <v>618</v>
      </c>
      <c r="H3" s="2" t="s">
        <v>619</v>
      </c>
      <c r="I3" s="2" t="s">
        <v>620</v>
      </c>
      <c r="J3" s="2" t="s">
        <v>621</v>
      </c>
      <c r="K3" s="2" t="s">
        <v>622</v>
      </c>
      <c r="L3" s="2" t="s">
        <v>623</v>
      </c>
      <c r="M3" s="2" t="s">
        <v>624</v>
      </c>
    </row>
    <row r="4" ht="40.5" customHeight="1" spans="1:1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40.5" customHeight="1" spans="1:1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</sheetData>
  <mergeCells count="2">
    <mergeCell ref="A1:M1"/>
    <mergeCell ref="A2:M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pane ySplit="3" topLeftCell="A4" activePane="bottomLeft" state="frozen"/>
      <selection/>
      <selection pane="bottomLeft" activeCell="A1" sqref="A1:M1"/>
    </sheetView>
  </sheetViews>
  <sheetFormatPr defaultColWidth="9" defaultRowHeight="13.8"/>
  <cols>
    <col min="1" max="2" width="16.1083333333333" customWidth="1"/>
    <col min="3" max="3" width="57.7833333333333" customWidth="1"/>
    <col min="4" max="4" width="27.7833333333333" customWidth="1"/>
    <col min="5" max="5" width="36.6666666666667" customWidth="1"/>
    <col min="6" max="6" width="32.2166666666667" customWidth="1"/>
    <col min="7" max="7" width="31.6666666666667" customWidth="1"/>
    <col min="8" max="8" width="18.8916666666667" customWidth="1"/>
    <col min="9" max="9" width="12.2166666666667" customWidth="1"/>
    <col min="10" max="10" width="52.2166666666667" customWidth="1"/>
    <col min="11" max="11" width="33.3333333333333" customWidth="1"/>
    <col min="12" max="12" width="13.3333333333333" customWidth="1"/>
    <col min="13" max="13" width="38.8916666666667" customWidth="1"/>
  </cols>
  <sheetData>
    <row r="1" ht="25.5" customHeight="1" spans="1:13">
      <c r="A1" s="1" t="s">
        <v>625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ht="37.5" customHeight="1" spans="1:13">
      <c r="A3" s="2" t="s">
        <v>626</v>
      </c>
      <c r="B3" s="2" t="s">
        <v>627</v>
      </c>
      <c r="C3" s="2" t="s">
        <v>628</v>
      </c>
      <c r="D3" s="2" t="s">
        <v>629</v>
      </c>
      <c r="E3" s="2" t="s">
        <v>630</v>
      </c>
      <c r="F3" s="2" t="s">
        <v>631</v>
      </c>
      <c r="G3" s="2" t="s">
        <v>632</v>
      </c>
      <c r="H3" s="2" t="s">
        <v>633</v>
      </c>
      <c r="I3" s="2" t="s">
        <v>36</v>
      </c>
      <c r="J3" s="2" t="s">
        <v>634</v>
      </c>
      <c r="K3" s="2" t="s">
        <v>635</v>
      </c>
      <c r="L3" s="2" t="s">
        <v>636</v>
      </c>
      <c r="M3" s="2" t="s">
        <v>41</v>
      </c>
    </row>
    <row r="4" ht="57" customHeight="1" spans="1:13">
      <c r="A4" s="3" t="s">
        <v>637</v>
      </c>
      <c r="B4" s="3" t="s">
        <v>638</v>
      </c>
      <c r="C4" s="3" t="s">
        <v>639</v>
      </c>
      <c r="D4" s="3" t="s">
        <v>640</v>
      </c>
      <c r="E4" s="3" t="s">
        <v>641</v>
      </c>
      <c r="F4" s="3" t="s">
        <v>642</v>
      </c>
      <c r="G4" s="3" t="s">
        <v>643</v>
      </c>
      <c r="H4" s="3" t="s">
        <v>644</v>
      </c>
      <c r="I4" s="3" t="s">
        <v>645</v>
      </c>
      <c r="J4" s="3" t="s">
        <v>646</v>
      </c>
      <c r="K4" s="3" t="s">
        <v>647</v>
      </c>
      <c r="L4" s="3"/>
      <c r="M4" s="3" t="s">
        <v>648</v>
      </c>
    </row>
    <row r="5" ht="57" customHeight="1" spans="1:13">
      <c r="A5" s="3" t="s">
        <v>649</v>
      </c>
      <c r="B5" s="3" t="s">
        <v>650</v>
      </c>
      <c r="C5" s="3" t="s">
        <v>651</v>
      </c>
      <c r="D5" s="3" t="s">
        <v>640</v>
      </c>
      <c r="E5" s="3" t="s">
        <v>641</v>
      </c>
      <c r="F5" s="3" t="s">
        <v>642</v>
      </c>
      <c r="G5" s="3" t="s">
        <v>643</v>
      </c>
      <c r="H5" s="3" t="s">
        <v>652</v>
      </c>
      <c r="I5" s="3" t="s">
        <v>645</v>
      </c>
      <c r="J5" s="3" t="s">
        <v>653</v>
      </c>
      <c r="K5" s="3" t="s">
        <v>647</v>
      </c>
      <c r="L5" s="3"/>
      <c r="M5" s="3" t="s">
        <v>654</v>
      </c>
    </row>
    <row r="6" ht="57" customHeight="1" spans="1:13">
      <c r="A6" s="3" t="s">
        <v>541</v>
      </c>
      <c r="B6" s="3" t="s">
        <v>655</v>
      </c>
      <c r="C6" s="3" t="s">
        <v>656</v>
      </c>
      <c r="D6" s="3" t="s">
        <v>640</v>
      </c>
      <c r="E6" s="3" t="s">
        <v>641</v>
      </c>
      <c r="F6" s="3" t="s">
        <v>642</v>
      </c>
      <c r="G6" s="3" t="s">
        <v>643</v>
      </c>
      <c r="H6" s="3" t="s">
        <v>652</v>
      </c>
      <c r="I6" s="3" t="s">
        <v>645</v>
      </c>
      <c r="J6" s="3" t="s">
        <v>657</v>
      </c>
      <c r="K6" s="3" t="s">
        <v>647</v>
      </c>
      <c r="L6" s="3"/>
      <c r="M6" s="3" t="s">
        <v>658</v>
      </c>
    </row>
    <row r="7" ht="57" customHeight="1" spans="1:13">
      <c r="A7" s="3" t="s">
        <v>659</v>
      </c>
      <c r="B7" s="3" t="s">
        <v>127</v>
      </c>
      <c r="C7" s="3" t="s">
        <v>660</v>
      </c>
      <c r="D7" s="3" t="s">
        <v>640</v>
      </c>
      <c r="E7" s="3" t="s">
        <v>641</v>
      </c>
      <c r="F7" s="3" t="s">
        <v>642</v>
      </c>
      <c r="G7" s="3" t="s">
        <v>643</v>
      </c>
      <c r="H7" s="3" t="s">
        <v>661</v>
      </c>
      <c r="I7" s="3" t="s">
        <v>645</v>
      </c>
      <c r="J7" s="3" t="s">
        <v>662</v>
      </c>
      <c r="K7" s="3" t="s">
        <v>647</v>
      </c>
      <c r="L7" s="3"/>
      <c r="M7" s="3" t="s">
        <v>663</v>
      </c>
    </row>
    <row r="8" ht="57" customHeight="1" spans="1:13">
      <c r="A8" s="3" t="s">
        <v>664</v>
      </c>
      <c r="B8" s="3" t="s">
        <v>665</v>
      </c>
      <c r="C8" s="3" t="s">
        <v>666</v>
      </c>
      <c r="D8" s="3" t="s">
        <v>640</v>
      </c>
      <c r="E8" s="3" t="s">
        <v>641</v>
      </c>
      <c r="F8" s="3" t="s">
        <v>642</v>
      </c>
      <c r="G8" s="3" t="s">
        <v>643</v>
      </c>
      <c r="H8" s="3" t="s">
        <v>661</v>
      </c>
      <c r="I8" s="3" t="s">
        <v>645</v>
      </c>
      <c r="J8" s="3" t="s">
        <v>667</v>
      </c>
      <c r="K8" s="3" t="s">
        <v>647</v>
      </c>
      <c r="L8" s="3"/>
      <c r="M8" s="3" t="s">
        <v>668</v>
      </c>
    </row>
    <row r="9" ht="57" customHeight="1" spans="1:13">
      <c r="A9" s="3" t="s">
        <v>552</v>
      </c>
      <c r="B9" s="3" t="s">
        <v>669</v>
      </c>
      <c r="C9" s="3" t="s">
        <v>670</v>
      </c>
      <c r="D9" s="3" t="s">
        <v>640</v>
      </c>
      <c r="E9" s="3" t="s">
        <v>641</v>
      </c>
      <c r="F9" s="3" t="s">
        <v>642</v>
      </c>
      <c r="G9" s="3" t="s">
        <v>643</v>
      </c>
      <c r="H9" s="3" t="s">
        <v>671</v>
      </c>
      <c r="I9" s="3" t="s">
        <v>645</v>
      </c>
      <c r="J9" s="3" t="s">
        <v>672</v>
      </c>
      <c r="K9" s="3" t="s">
        <v>647</v>
      </c>
      <c r="L9" s="3"/>
      <c r="M9" s="3" t="s">
        <v>673</v>
      </c>
    </row>
    <row r="10" ht="57" customHeight="1" spans="1:13">
      <c r="A10" s="3" t="s">
        <v>674</v>
      </c>
      <c r="B10" s="3" t="s">
        <v>675</v>
      </c>
      <c r="C10" s="3" t="s">
        <v>676</v>
      </c>
      <c r="D10" s="3" t="s">
        <v>640</v>
      </c>
      <c r="E10" s="3" t="s">
        <v>641</v>
      </c>
      <c r="F10" s="3" t="s">
        <v>642</v>
      </c>
      <c r="G10" s="3" t="s">
        <v>643</v>
      </c>
      <c r="H10" s="3" t="s">
        <v>661</v>
      </c>
      <c r="I10" s="3" t="s">
        <v>645</v>
      </c>
      <c r="J10" s="3" t="s">
        <v>677</v>
      </c>
      <c r="K10" s="3" t="s">
        <v>647</v>
      </c>
      <c r="L10" s="3"/>
      <c r="M10" s="3" t="s">
        <v>678</v>
      </c>
    </row>
    <row r="11" ht="57" customHeight="1" spans="1:13">
      <c r="A11" s="3" t="s">
        <v>679</v>
      </c>
      <c r="B11" s="3" t="s">
        <v>680</v>
      </c>
      <c r="C11" s="3" t="s">
        <v>681</v>
      </c>
      <c r="D11" s="3" t="s">
        <v>640</v>
      </c>
      <c r="E11" s="3" t="s">
        <v>641</v>
      </c>
      <c r="F11" s="3" t="s">
        <v>642</v>
      </c>
      <c r="G11" s="3" t="s">
        <v>643</v>
      </c>
      <c r="H11" s="3" t="s">
        <v>652</v>
      </c>
      <c r="I11" s="3" t="s">
        <v>645</v>
      </c>
      <c r="J11" s="3" t="s">
        <v>682</v>
      </c>
      <c r="K11" s="3" t="s">
        <v>647</v>
      </c>
      <c r="L11" s="3"/>
      <c r="M11" s="3" t="s">
        <v>683</v>
      </c>
    </row>
    <row r="12" ht="57" customHeight="1" spans="1:13">
      <c r="A12" s="3" t="s">
        <v>562</v>
      </c>
      <c r="B12" s="3" t="s">
        <v>684</v>
      </c>
      <c r="C12" s="3" t="s">
        <v>685</v>
      </c>
      <c r="D12" s="3" t="s">
        <v>640</v>
      </c>
      <c r="E12" s="3" t="s">
        <v>641</v>
      </c>
      <c r="F12" s="3" t="s">
        <v>642</v>
      </c>
      <c r="G12" s="3" t="s">
        <v>643</v>
      </c>
      <c r="H12" s="3" t="s">
        <v>652</v>
      </c>
      <c r="I12" s="3" t="s">
        <v>645</v>
      </c>
      <c r="J12" s="3" t="s">
        <v>686</v>
      </c>
      <c r="K12" s="3" t="s">
        <v>647</v>
      </c>
      <c r="L12" s="3"/>
      <c r="M12" s="3" t="s">
        <v>687</v>
      </c>
    </row>
    <row r="13" ht="57" customHeight="1" spans="1:13">
      <c r="A13" s="3" t="s">
        <v>688</v>
      </c>
      <c r="B13" s="3" t="s">
        <v>689</v>
      </c>
      <c r="C13" s="3" t="s">
        <v>690</v>
      </c>
      <c r="D13" s="3" t="s">
        <v>640</v>
      </c>
      <c r="E13" s="3" t="s">
        <v>641</v>
      </c>
      <c r="F13" s="3" t="s">
        <v>642</v>
      </c>
      <c r="G13" s="3" t="s">
        <v>643</v>
      </c>
      <c r="H13" s="3" t="s">
        <v>671</v>
      </c>
      <c r="I13" s="3" t="s">
        <v>645</v>
      </c>
      <c r="J13" s="3" t="s">
        <v>691</v>
      </c>
      <c r="K13" s="3" t="s">
        <v>647</v>
      </c>
      <c r="L13" s="3"/>
      <c r="M13" s="3" t="s">
        <v>692</v>
      </c>
    </row>
    <row r="14" ht="57" customHeight="1" spans="1:13">
      <c r="A14" s="3" t="s">
        <v>693</v>
      </c>
      <c r="B14" s="3" t="s">
        <v>385</v>
      </c>
      <c r="C14" s="3" t="s">
        <v>694</v>
      </c>
      <c r="D14" s="3" t="s">
        <v>640</v>
      </c>
      <c r="E14" s="3" t="s">
        <v>641</v>
      </c>
      <c r="F14" s="3" t="s">
        <v>642</v>
      </c>
      <c r="G14" s="3" t="s">
        <v>643</v>
      </c>
      <c r="H14" s="3" t="s">
        <v>695</v>
      </c>
      <c r="I14" s="3" t="s">
        <v>645</v>
      </c>
      <c r="J14" s="3" t="s">
        <v>383</v>
      </c>
      <c r="K14" s="3" t="s">
        <v>647</v>
      </c>
      <c r="L14" s="3"/>
      <c r="M14" s="3" t="s">
        <v>696</v>
      </c>
    </row>
    <row r="15" ht="57" customHeight="1" spans="1:13">
      <c r="A15" s="3" t="s">
        <v>697</v>
      </c>
      <c r="B15" s="3" t="s">
        <v>698</v>
      </c>
      <c r="C15" s="3" t="s">
        <v>699</v>
      </c>
      <c r="D15" s="3" t="s">
        <v>640</v>
      </c>
      <c r="E15" s="3" t="s">
        <v>641</v>
      </c>
      <c r="F15" s="3" t="s">
        <v>642</v>
      </c>
      <c r="G15" s="3" t="s">
        <v>643</v>
      </c>
      <c r="H15" s="3" t="s">
        <v>652</v>
      </c>
      <c r="I15" s="3" t="s">
        <v>645</v>
      </c>
      <c r="J15" s="3" t="s">
        <v>700</v>
      </c>
      <c r="K15" s="3" t="s">
        <v>647</v>
      </c>
      <c r="L15" s="3"/>
      <c r="M15" s="3" t="s">
        <v>701</v>
      </c>
    </row>
    <row r="16" ht="57" customHeight="1" spans="1:13">
      <c r="A16" s="3" t="s">
        <v>702</v>
      </c>
      <c r="B16" s="3" t="s">
        <v>703</v>
      </c>
      <c r="C16" s="3" t="s">
        <v>704</v>
      </c>
      <c r="D16" s="3" t="s">
        <v>640</v>
      </c>
      <c r="E16" s="3" t="s">
        <v>641</v>
      </c>
      <c r="F16" s="3" t="s">
        <v>642</v>
      </c>
      <c r="G16" s="3" t="s">
        <v>643</v>
      </c>
      <c r="H16" s="3" t="s">
        <v>705</v>
      </c>
      <c r="I16" s="3" t="s">
        <v>645</v>
      </c>
      <c r="J16" s="3" t="s">
        <v>706</v>
      </c>
      <c r="K16" s="3" t="s">
        <v>647</v>
      </c>
      <c r="L16" s="3"/>
      <c r="M16" s="3" t="s">
        <v>707</v>
      </c>
    </row>
  </sheetData>
  <mergeCells count="1">
    <mergeCell ref="A1:M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pane ySplit="2" topLeftCell="A3" activePane="bottomLeft" state="frozen"/>
      <selection/>
      <selection pane="bottomLeft" activeCell="A1" sqref="A1:G1"/>
    </sheetView>
  </sheetViews>
  <sheetFormatPr defaultColWidth="9" defaultRowHeight="13.8" outlineLevelRow="7" outlineLevelCol="6"/>
  <cols>
    <col min="1" max="1" width="13.8916666666667" customWidth="1"/>
    <col min="2" max="2" width="36.6666666666667" customWidth="1"/>
    <col min="3" max="3" width="34.4416666666667" customWidth="1"/>
    <col min="4" max="4" width="16.6666666666667" customWidth="1"/>
    <col min="5" max="5" width="76.6666666666667" customWidth="1"/>
    <col min="6" max="6" width="18.3333333333333" customWidth="1"/>
    <col min="7" max="7" width="58.8916666666667" customWidth="1"/>
  </cols>
  <sheetData>
    <row r="1" ht="25.5" customHeight="1" spans="1:7">
      <c r="A1" s="1" t="s">
        <v>708</v>
      </c>
      <c r="B1" s="1"/>
      <c r="C1" s="1"/>
      <c r="D1" s="1"/>
      <c r="E1" s="1"/>
      <c r="F1" s="1"/>
      <c r="G1" s="1"/>
    </row>
    <row r="2" ht="37.5" customHeight="1" spans="1:7">
      <c r="A2" s="2" t="s">
        <v>709</v>
      </c>
      <c r="B2" s="2" t="s">
        <v>710</v>
      </c>
      <c r="C2" s="2" t="s">
        <v>711</v>
      </c>
      <c r="D2" s="2" t="s">
        <v>579</v>
      </c>
      <c r="E2" s="2" t="s">
        <v>712</v>
      </c>
      <c r="F2" s="2" t="s">
        <v>520</v>
      </c>
      <c r="G2" s="2" t="s">
        <v>713</v>
      </c>
    </row>
    <row r="3" ht="57" customHeight="1" spans="1:7">
      <c r="A3" s="3" t="s">
        <v>714</v>
      </c>
      <c r="B3" s="3" t="s">
        <v>715</v>
      </c>
      <c r="C3" s="3" t="s">
        <v>716</v>
      </c>
      <c r="D3" s="3" t="s">
        <v>717</v>
      </c>
      <c r="E3" s="3" t="s">
        <v>715</v>
      </c>
      <c r="F3" s="3" t="s">
        <v>718</v>
      </c>
      <c r="G3" s="3" t="s">
        <v>719</v>
      </c>
    </row>
    <row r="4" ht="57" customHeight="1" spans="1:7">
      <c r="A4" s="3" t="s">
        <v>720</v>
      </c>
      <c r="B4" s="3" t="s">
        <v>721</v>
      </c>
      <c r="C4" s="3" t="s">
        <v>722</v>
      </c>
      <c r="D4" s="3" t="s">
        <v>723</v>
      </c>
      <c r="E4" s="3" t="s">
        <v>724</v>
      </c>
      <c r="F4" s="3" t="s">
        <v>725</v>
      </c>
      <c r="G4" s="3" t="s">
        <v>726</v>
      </c>
    </row>
    <row r="5" ht="57" customHeight="1" spans="1:7">
      <c r="A5" s="3" t="s">
        <v>727</v>
      </c>
      <c r="B5" s="3" t="s">
        <v>728</v>
      </c>
      <c r="C5" s="3" t="s">
        <v>729</v>
      </c>
      <c r="D5" s="3" t="s">
        <v>730</v>
      </c>
      <c r="E5" s="3" t="s">
        <v>731</v>
      </c>
      <c r="F5" s="3" t="s">
        <v>732</v>
      </c>
      <c r="G5" s="3" t="s">
        <v>733</v>
      </c>
    </row>
    <row r="6" ht="57" customHeight="1" spans="1:7">
      <c r="A6" s="3" t="s">
        <v>734</v>
      </c>
      <c r="B6" s="3" t="s">
        <v>735</v>
      </c>
      <c r="C6" s="3" t="s">
        <v>736</v>
      </c>
      <c r="D6" s="3" t="s">
        <v>737</v>
      </c>
      <c r="E6" s="3" t="s">
        <v>738</v>
      </c>
      <c r="F6" s="3" t="s">
        <v>739</v>
      </c>
      <c r="G6" s="3" t="s">
        <v>740</v>
      </c>
    </row>
    <row r="7" ht="57" customHeight="1" spans="1:7">
      <c r="A7" s="3" t="s">
        <v>741</v>
      </c>
      <c r="B7" s="3" t="s">
        <v>742</v>
      </c>
      <c r="C7" s="3" t="s">
        <v>743</v>
      </c>
      <c r="D7" s="3" t="s">
        <v>744</v>
      </c>
      <c r="E7" s="3" t="s">
        <v>745</v>
      </c>
      <c r="F7" s="3" t="s">
        <v>746</v>
      </c>
      <c r="G7" s="3" t="s">
        <v>747</v>
      </c>
    </row>
    <row r="8" ht="57" customHeight="1" spans="1:7">
      <c r="A8" s="3" t="s">
        <v>748</v>
      </c>
      <c r="B8" s="3" t="s">
        <v>749</v>
      </c>
      <c r="C8" s="3" t="s">
        <v>750</v>
      </c>
      <c r="D8" s="3" t="s">
        <v>751</v>
      </c>
      <c r="E8" s="3" t="s">
        <v>749</v>
      </c>
      <c r="F8" s="3" t="s">
        <v>752</v>
      </c>
      <c r="G8" s="3" t="s">
        <v>753</v>
      </c>
    </row>
  </sheetData>
  <mergeCells count="1">
    <mergeCell ref="A1:G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pane ySplit="2" topLeftCell="A3" activePane="bottomLeft" state="frozen"/>
      <selection/>
      <selection pane="bottomLeft" activeCell="A1" sqref="A1:E1"/>
    </sheetView>
  </sheetViews>
  <sheetFormatPr defaultColWidth="9" defaultRowHeight="13.8" outlineLevelCol="4"/>
  <cols>
    <col min="1" max="1" width="16.6666666666667" customWidth="1"/>
    <col min="2" max="2" width="51.6666666666667" customWidth="1"/>
    <col min="3" max="3" width="26.6666666666667" customWidth="1"/>
    <col min="4" max="4" width="41.1083333333333" customWidth="1"/>
    <col min="5" max="5" width="38.8916666666667" customWidth="1"/>
  </cols>
  <sheetData>
    <row r="1" ht="25.5" customHeight="1" spans="1:5">
      <c r="A1" s="1" t="s">
        <v>754</v>
      </c>
      <c r="B1" s="1"/>
      <c r="C1" s="1"/>
      <c r="D1" s="1"/>
      <c r="E1" s="1"/>
    </row>
    <row r="2" ht="37.5" customHeight="1" spans="1:5">
      <c r="A2" s="2" t="s">
        <v>627</v>
      </c>
      <c r="B2" s="2" t="s">
        <v>755</v>
      </c>
      <c r="C2" s="2" t="s">
        <v>756</v>
      </c>
      <c r="D2" s="2" t="s">
        <v>757</v>
      </c>
      <c r="E2" s="2" t="s">
        <v>758</v>
      </c>
    </row>
    <row r="3" ht="57" customHeight="1" spans="1:5">
      <c r="A3" s="3" t="s">
        <v>614</v>
      </c>
      <c r="B3" s="3" t="s">
        <v>759</v>
      </c>
      <c r="C3" s="3" t="s">
        <v>760</v>
      </c>
      <c r="D3" s="3" t="s">
        <v>761</v>
      </c>
      <c r="E3" s="3" t="s">
        <v>762</v>
      </c>
    </row>
    <row r="4" ht="57" customHeight="1" spans="1:5">
      <c r="A4" s="3" t="s">
        <v>763</v>
      </c>
      <c r="B4" s="3" t="s">
        <v>764</v>
      </c>
      <c r="C4" s="3" t="s">
        <v>765</v>
      </c>
      <c r="D4" s="3" t="s">
        <v>766</v>
      </c>
      <c r="E4" s="3" t="s">
        <v>767</v>
      </c>
    </row>
    <row r="5" ht="57" customHeight="1" spans="1:5">
      <c r="A5" s="3" t="s">
        <v>768</v>
      </c>
      <c r="B5" s="3" t="s">
        <v>769</v>
      </c>
      <c r="C5" s="3" t="s">
        <v>770</v>
      </c>
      <c r="D5" s="3" t="s">
        <v>771</v>
      </c>
      <c r="E5" s="3" t="s">
        <v>772</v>
      </c>
    </row>
    <row r="6" ht="57" customHeight="1" spans="1:5">
      <c r="A6" s="3" t="s">
        <v>638</v>
      </c>
      <c r="B6" s="3" t="s">
        <v>773</v>
      </c>
      <c r="C6" s="3" t="s">
        <v>774</v>
      </c>
      <c r="D6" s="3" t="s">
        <v>775</v>
      </c>
      <c r="E6" s="3" t="s">
        <v>776</v>
      </c>
    </row>
    <row r="7" ht="57" customHeight="1" spans="1:5">
      <c r="A7" s="3" t="s">
        <v>777</v>
      </c>
      <c r="B7" s="3" t="s">
        <v>778</v>
      </c>
      <c r="C7" s="3" t="s">
        <v>779</v>
      </c>
      <c r="D7" s="3" t="s">
        <v>780</v>
      </c>
      <c r="E7" s="3" t="s">
        <v>781</v>
      </c>
    </row>
    <row r="8" ht="57" customHeight="1" spans="1:5">
      <c r="A8" s="3" t="s">
        <v>684</v>
      </c>
      <c r="B8" s="3" t="s">
        <v>782</v>
      </c>
      <c r="C8" s="3" t="s">
        <v>652</v>
      </c>
      <c r="D8" s="3" t="s">
        <v>783</v>
      </c>
      <c r="E8" s="3" t="s">
        <v>784</v>
      </c>
    </row>
    <row r="9" ht="57" customHeight="1" spans="1:5">
      <c r="A9" s="3" t="s">
        <v>785</v>
      </c>
      <c r="B9" s="3" t="s">
        <v>786</v>
      </c>
      <c r="C9" s="3" t="s">
        <v>787</v>
      </c>
      <c r="D9" s="3" t="s">
        <v>788</v>
      </c>
      <c r="E9" s="3" t="s">
        <v>789</v>
      </c>
    </row>
    <row r="10" ht="57" customHeight="1" spans="1:5">
      <c r="A10" s="3" t="s">
        <v>120</v>
      </c>
      <c r="B10" s="3" t="s">
        <v>790</v>
      </c>
      <c r="C10" s="3" t="s">
        <v>791</v>
      </c>
      <c r="D10" s="3" t="s">
        <v>792</v>
      </c>
      <c r="E10" s="3" t="s">
        <v>793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Hướng dẫn</vt:lpstr>
      <vt:lpstr>Test Cases</vt:lpstr>
      <vt:lpstr>API Scope</vt:lpstr>
      <vt:lpstr>Dashboard</vt:lpstr>
      <vt:lpstr>Execution Log</vt:lpstr>
      <vt:lpstr>RFI &amp; Gaps</vt:lpstr>
      <vt:lpstr>Nguồn &amp; Version</vt:lpstr>
      <vt:lpstr>Test Data &amp; Roles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Đăng Khoa Nguyễn Hà</cp:lastModifiedBy>
  <dcterms:created xsi:type="dcterms:W3CDTF">2026-10-26T01:25:13Z</dcterms:created>
  <dcterms:modified xsi:type="dcterms:W3CDTF">2026-10-26T01:30:08Z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24C43C98F18949DE9E09F45A1BBF4D79_12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