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8224c960804e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a5ee1555a2b243c5"/>
    <x:sheet xmlns:r="http://schemas.openxmlformats.org/officeDocument/2006/relationships" name="Dashboard" sheetId="2" r:id="R58bdbdc937b847da"/>
    <x:sheet xmlns:r="http://schemas.openxmlformats.org/officeDocument/2006/relationships" name="Test Cases" sheetId="3" r:id="Rb7885110a63c4269"/>
    <x:sheet xmlns:r="http://schemas.openxmlformats.org/officeDocument/2006/relationships" name="BRD API Trace" sheetId="4" r:id="Rf43356e9ee544098"/>
    <x:sheet xmlns:r="http://schemas.openxmlformats.org/officeDocument/2006/relationships" name="Execution Log" sheetId="5" r:id="Rfbdd5bd63c7b4259"/>
    <x:sheet xmlns:r="http://schemas.openxmlformats.org/officeDocument/2006/relationships" name="Bug Report" sheetId="6" r:id="R8e1534de670d47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17283E"/>
      <x:name val="Arial"/>
    </x:font>
    <x:font>
      <x:sz val="10"/>
      <x:color rgb="FF5D6D7E"/>
      <x:name val="Arial"/>
    </x:font>
    <x:font>
      <x:b/>
      <x:sz val="10"/>
      <x:color rgb="FFFFFFFF"/>
      <x:name val="Arial"/>
    </x:font>
    <x:font>
      <x:sz val="10"/>
      <x:color rgb="FF17283E"/>
      <x:name val="Arial"/>
    </x:font>
    <x:font>
      <x:sz val="10"/>
      <x:color rgb="FF9B521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35703f647d4441" /><Relationship Type="http://schemas.openxmlformats.org/officeDocument/2006/relationships/theme" Target="/xl/theme/theme1.xml" Id="R0d598a0e71624a74" /><Relationship Type="http://schemas.openxmlformats.org/officeDocument/2006/relationships/sharedStrings" Target="/xl/sharedStrings.xml" Id="Re498743cb1ad47cd" /><Relationship Type="http://schemas.openxmlformats.org/officeDocument/2006/relationships/worksheet" Target="/xl/worksheets/sheet1.xml" Id="Ra5ee1555a2b243c5" /><Relationship Type="http://schemas.openxmlformats.org/officeDocument/2006/relationships/worksheet" Target="/xl/worksheets/sheet2.xml" Id="R58bdbdc937b847da" /><Relationship Type="http://schemas.openxmlformats.org/officeDocument/2006/relationships/worksheet" Target="/xl/worksheets/sheet3.xml" Id="Rb7885110a63c4269" /><Relationship Type="http://schemas.openxmlformats.org/officeDocument/2006/relationships/worksheet" Target="/xl/worksheets/sheet4.xml" Id="Rf43356e9ee544098" /><Relationship Type="http://schemas.openxmlformats.org/officeDocument/2006/relationships/worksheet" Target="/xl/worksheets/sheet5.xml" Id="Rfbdd5bd63c7b4259" /><Relationship Type="http://schemas.openxmlformats.org/officeDocument/2006/relationships/worksheet" Target="/xl/worksheets/sheet6.xml" Id="R8e1534de670d47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0" hidden="0" customWidth="1"/>
  </x:cols>
  <x:sheetData>
    <x:row r="1" ht="24" customHeight="1">
      <x:c r="A1" s="1" t="str">
        <x:v>SPRINT 4 • QA/QC P0/P1 | 09–20/11/2026</x:v>
      </x:c>
      <x:c r="B1" s="1"/>
      <x:c r="C1" s="1"/>
      <x:c r="D1" s="1"/>
      <x:c r="E1" s="1"/>
      <x:c r="F1" s="1"/>
      <x:c r="G1" s="1"/>
      <x:c r="H1" s="1"/>
    </x:row>
    <x:row r="2" ht="24" customHeight="1">
      <x:c r="A2" s="2"/>
      <x:c r="B2" s="2"/>
      <x:c r="C2" s="2"/>
      <x:c r="D2" s="2"/>
      <x:c r="E2" s="2"/>
      <x:c r="F2" s="2"/>
      <x:c r="G2" s="2"/>
      <x:c r="H2" s="2"/>
    </x:row>
    <x:row r="3" ht="42" customHeight="1">
      <x:c r="A3" s="7" t="str">
        <x:v>Mục</x:v>
      </x:c>
      <x:c r="B3" s="7" t="str">
        <x:v>Quy ước thực thi</x:v>
      </x:c>
    </x:row>
    <x:row r="4" ht="38" customHeight="1">
      <x:c r="A4" s="9" t="str">
        <x:v>Mục đích</x:v>
      </x:c>
      <x:c r="B4" s="10" t="str">
        <x:v>Bộ thực thi Sprint 4 được lọc từ master 71 testcase Pha 2. 45 case Payment, Table advanced, User/Permission, Audit, Monitoring và Order Control; giữ nguyên TC ID, 21 cột và expected của master.</x:v>
      </x:c>
    </x:row>
    <x:row r="5" ht="38" customHeight="1">
      <x:c r="A5" s="9" t="str">
        <x:v>Nguồn</x:v>
      </x:c>
      <x:c r="B5" s="10" t="str">
        <x:v>BRD Pos System BRD(2); Project_Plan_QAQC_Sprint3_Gates_2026-10-26.xlsx; AFG_POS_QAQC_71_Phase2_Bug_Report.xlsx; BE docs/api/api-catalog.md §D; OpenAPI staging SHA 46d6049b7228bfe023a42c84269fb3fb8464be63.</x:v>
      </x:c>
    </x:row>
    <x:row r="6" ht="38" customHeight="1">
      <x:c r="A6" s="9" t="str">
        <x:v>Phạm vi Sprint 3</x:v>
      </x:c>
      <x:c r="B6" s="10" t="str">
        <x:v>QR/Rewards 26 case cấp cao (15 QR + 11 Rewards) nằm trong master 71; 24 QR và 20 Rewards chi tiết nằm ở file riêng. Chỉ carryover sang Sprint 4 khi PO quyết định.</x:v>
      </x:c>
    </x:row>
    <x:row r="7" ht="38" customHeight="1">
      <x:c r="A7" s="9" t="str">
        <x:v>Ưu tiên</x:v>
      </x:c>
      <x:c r="B7" s="10" t="str">
        <x:v>Trong view này Critical → P0 và High → P1 để xếp lịch QA. Đây là mapping ưu tiên tạm của QA; không đổi priority gốc hay cam kết phạm vi của PO.</x:v>
      </x:c>
    </x:row>
    <x:row r="8" ht="38" customHeight="1">
      <x:c r="A8" s="9" t="str">
        <x:v>Điều kiện chạy</x:v>
      </x:c>
      <x:c r="B8" s="10" t="str">
        <x:v>Chỉ chạy business case sau khi API contract live cùng SHA, policy/RBAC/error code được chốt, fixture QA có ownership và đường cleanup. Kiểm tra /version trước và sau mỗi run.</x:v>
      </x:c>
    </x:row>
    <x:row r="9" ht="38" customHeight="1">
      <x:c r="A9" s="9" t="str">
        <x:v>Trạng thái</x:v>
      </x:c>
      <x:c r="B9" s="10" t="str">
        <x:v>45 Test Cases giữ Not Executed và Actual Result trống. Contract thiếu được theo dõi tại BRD API Trace và master Bug Report loại BLOCKER; không suy thành business Failed.</x:v>
      </x:c>
    </x:row>
    <x:row r="10" ht="38" customHeight="1">
      <x:c r="A10" s="9" t="str">
        <x:v>Evidence</x:v>
      </x:c>
      <x:c r="B10" s="10" t="str">
        <x:v>Execution Log bên dưới chứa hai regression Phase 1 đã chạy trên SHA này (P0 TC_EXT_009 và P1 TC_API_01_003). Không cộng hai case đó vào Sprint 4 Passed.</x:v>
      </x:c>
    </x:row>
    <x:row r="11" ht="38" customHeight="1">
      <x:c r="A11" s="9" t="str">
        <x:v>Bug</x:v>
      </x:c>
      <x:c r="B11" s="10" t="str">
        <x:v>Chỉ ghi BUG khi testcase thực thi Failed. Retest Pass đúng phạm vi thì đóng BUG và giữ lịch sử; thiếu contract/fixture ghi BLOCKER, không tính Failed.</x:v>
      </x:c>
    </x:row>
    <x:row r="12" ht="38" customHeight="1">
      <x:c r="A12" s="9" t="str">
        <x:v>An toàn</x:v>
      </x:c>
      <x:c r="B12" s="10" t="str">
        <x:v>Không ghi JWT, PIN, PAN/CVV, số điện thoại thật hoặc secret. Không reset staging hoặc tác động dữ liệu của người khác.</x:v>
      </x:c>
    </x:row>
    <x:row r="13" ht="38" customHeight="1">
      <x:c r="A13" s="9" t="str">
        <x:v>Single source</x:v>
      </x:c>
      <x:c r="B13" s="10" t="str">
        <x:v>Bản master 71 Phase 2 là nguồn trạng thái chính. Khi thực thi case Sprint 4, ghi Run ID/evidence tại đây rồi cập nhật cùng TC ID trong master.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0" hidden="0" customWidth="1"/>
  </x:cols>
  <x:sheetData>
    <x:row r="1" ht="24" customHeight="1">
      <x:c r="A1" s="1" t="str">
        <x:v>SPRINT 4 • Test Summary</x:v>
      </x:c>
      <x:c r="B1" s="1"/>
      <x:c r="C1" s="1"/>
      <x:c r="D1" s="1"/>
      <x:c r="E1" s="1"/>
      <x:c r="F1" s="1"/>
      <x:c r="G1" s="1"/>
      <x:c r="H1" s="1"/>
    </x:row>
    <x:row r="2" ht="24" customHeight="1">
      <x:c r="A2" s="2" t="str">
        <x:v>Thiết kế 45 case P0/P1; readiness từ build 46d6049; kết quả Phase 1 regression báo cáo riêng.</x:v>
      </x:c>
      <x:c r="B2" s="2"/>
      <x:c r="C2" s="2"/>
      <x:c r="D2" s="2"/>
      <x:c r="E2" s="2"/>
      <x:c r="F2" s="2"/>
      <x:c r="G2" s="2"/>
      <x:c r="H2" s="2"/>
    </x:row>
    <x:row r="4" ht="42" customHeight="1">
      <x:c r="A4" s="7" t="str">
        <x:v>Chỉ số</x:v>
      </x:c>
      <x:c r="B4" s="7" t="str">
        <x:v>Giá trị</x:v>
      </x:c>
    </x:row>
    <x:row r="5">
      <x:c r="A5" s="9" t="str">
        <x:v>Sprint 4 thiết kế</x:v>
      </x:c>
      <x:c r="B5" s="9" t="n">
        <x:f>COUNTA('Test Cases'!A4:A48)</x:f>
        <x:v>45</x:v>
      </x:c>
    </x:row>
    <x:row r="6">
      <x:c r="A6" s="9" t="str">
        <x:v>Passed Sprint 4</x:v>
      </x:c>
      <x:c r="B6" s="9" t="n">
        <x:f>COUNTIF('Test Cases'!L4:L48,"Passed")</x:f>
        <x:v>0</x:v>
      </x:c>
    </x:row>
    <x:row r="7">
      <x:c r="A7" s="9" t="str">
        <x:v>Failed Sprint 4</x:v>
      </x:c>
      <x:c r="B7" s="9" t="n">
        <x:f>COUNTIF('Test Cases'!L4:L48,"Failed")</x:f>
        <x:v>0</x:v>
      </x:c>
    </x:row>
    <x:row r="8">
      <x:c r="A8" s="9" t="str">
        <x:v>Blocked Sprint 4</x:v>
      </x:c>
      <x:c r="B8" s="9" t="n">
        <x:f>COUNTIF('Test Cases'!L4:L48,"Blocked")</x:f>
        <x:v>0</x:v>
      </x:c>
    </x:row>
    <x:row r="9">
      <x:c r="A9" s="9" t="str">
        <x:v>Not Executed Sprint 4</x:v>
      </x:c>
      <x:c r="B9" s="9" t="n">
        <x:f>COUNTIF('Test Cases'!L4:L48,"Not Executed")</x:f>
        <x:v>45</x:v>
      </x:c>
    </x:row>
    <x:row r="10">
      <x:c r="A10" s="9" t="str">
        <x:v>Phase 1 regression Passed</x:v>
      </x:c>
      <x:c r="B10" s="9" t="n">
        <x:f>COUNTIF('Execution Log'!J5:J6,"Passed")</x:f>
        <x:v>2</x:v>
      </x:c>
    </x:row>
    <x:row r="11">
      <x:c r="A11" s="9" t="str">
        <x:v>Preflight 200 (health/OpenAPI)</x:v>
      </x:c>
      <x:c r="B11" s="9" t="str">
        <x:f>IF('Execution Log'!I4="200/200/200","Preflight Passed","Review")</x:f>
        <x:v>Preflight Passed</x:v>
      </x:c>
    </x:row>
    <x:row r="13">
      <x:c r="A13" s="11" t="str">
        <x:v>Điểm dừng: thiếu Payment v2, Advanced Table, Staff/PIN/version và fixture; audit GET hiện có chỉ được tính khi test đủ điều kiện.</x:v>
      </x:c>
      <x:c r="B13" s="11"/>
      <x:c r="C13" s="11"/>
      <x:c r="D13" s="11"/>
      <x:c r="E13" s="11"/>
      <x:c r="F13" s="11"/>
      <x:c r="G13" s="11"/>
      <x:c r="H13" s="11"/>
    </x:row>
    <x:row r="14">
      <x:c r="A14" t="str">
        <x:v>Nguồn: Test Cases + BRD API Trace; xem log ở Execution Log.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44" hidden="0" customWidth="1"/>
    <x:col min="3" max="3" width="27" hidden="0" customWidth="1"/>
    <x:col min="4" max="4" width="11" hidden="0" customWidth="1"/>
    <x:col min="5" max="5" width="11" hidden="0" customWidth="1"/>
    <x:col min="6" max="6" width="16" hidden="0" customWidth="1"/>
    <x:col min="7" max="7" width="48" hidden="0" customWidth="1"/>
    <x:col min="8" max="8" width="62" hidden="0" customWidth="1"/>
    <x:col min="9" max="9" width="30" hidden="0" customWidth="1"/>
    <x:col min="10" max="10" width="61" hidden="0" customWidth="1"/>
    <x:col min="11" max="11" width="45" hidden="0" customWidth="1"/>
    <x:col min="12" max="12" width="17" hidden="0" customWidth="1"/>
    <x:col min="13" max="13" width="18" hidden="0" customWidth="1"/>
    <x:col min="14" max="14" width="19" hidden="0" customWidth="1"/>
    <x:col min="15" max="15" width="35" hidden="0" customWidth="1"/>
    <x:col min="16" max="16" width="24" hidden="0" customWidth="1"/>
    <x:col min="17" max="17" width="47" hidden="0" customWidth="1"/>
    <x:col min="18" max="18" width="47" hidden="0" customWidth="1"/>
    <x:col min="19" max="19" width="23" hidden="0" customWidth="1"/>
    <x:col min="20" max="20" width="45" hidden="0" customWidth="1"/>
    <x:col min="21" max="21" width="43" hidden="0" customWidth="1"/>
  </x:cols>
  <x:sheetData>
    <x:row r="1" ht="24" customHeight="1">
      <x:c r="A1" s="1" t="str">
        <x:v>SPRINT 4 • TEST CASES P0/P1 (kế thừa 45/71 Phase 2)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24" customHeight="1">
      <x:c r="A2" s="2" t="str">
        <x:v>Các case ở đây là thiết kế. Status/Actual chỉ đổi sau run trên SHA + fixture cụ thể.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42" customHeight="1">
      <x:c r="A3" s="7" t="str">
        <x:v>TC ID</x:v>
      </x:c>
      <x:c r="B3" s="7" t="str">
        <x:v>Tiêu đề Test Case</x:v>
      </x:c>
      <x:c r="C3" s="7" t="str">
        <x:v>Module</x:v>
      </x:c>
      <x:c r="D3" s="7" t="str">
        <x:v>Priority</x:v>
      </x:c>
      <x:c r="E3" s="7" t="str">
        <x:v>Severity</x:v>
      </x:c>
      <x:c r="F3" s="7" t="str">
        <x:v>Loại Test</x:v>
      </x:c>
      <x:c r="G3" s="7" t="str">
        <x:v>Preconditions
(Điều kiện tiên quyết)</x:v>
      </x:c>
      <x:c r="H3" s="7" t="str">
        <x:v>Test Steps
(Các bước thực hiện)</x:v>
      </x:c>
      <x:c r="I3" s="7" t="str">
        <x:v>Test Data
(Dữ liệu đầu vào)</x:v>
      </x:c>
      <x:c r="J3" s="7" t="str">
        <x:v>Expected Result
(Kết quả mong đợi)</x:v>
      </x:c>
      <x:c r="K3" s="7" t="str">
        <x:v>Actual Result
(Kết quả thực tế)</x:v>
      </x:c>
      <x:c r="L3" s="7" t="str">
        <x:v>Status</x:v>
      </x:c>
      <x:c r="M3" s="7" t="str">
        <x:v>Ngày thực hiện</x:v>
      </x:c>
      <x:c r="N3" s="7" t="str">
        <x:v>Người thực hiện</x:v>
      </x:c>
      <x:c r="O3" s="7" t="str">
        <x:v>Req ID</x:v>
      </x:c>
      <x:c r="P3" s="7" t="str">
        <x:v>Automation?</x:v>
      </x:c>
      <x:c r="Q3" s="7" t="str">
        <x:v>Ghi chú</x:v>
      </x:c>
      <x:c r="R3" s="7" t="str">
        <x:v>Method + Endpoint</x:v>
      </x:c>
      <x:c r="S3" s="7" t="str">
        <x:v>Postman Ref</x:v>
      </x:c>
      <x:c r="T3" s="7" t="str">
        <x:v>Nguồn / Version</x:v>
      </x:c>
      <x:c r="U3" s="7" t="str">
        <x:v>Contract / RFI</x:v>
      </x:c>
    </x:row>
    <x:row r="4" ht="48" customHeight="1">
      <x:c r="A4" s="9" t="str">
        <x:v>P2-PAY-001</x:v>
      </x:c>
      <x:c r="B4" s="10" t="str">
        <x:v>Thanh toán CASH đủ số tiền</x:v>
      </x:c>
      <x:c r="C4" s="9" t="str">
        <x:v>Payment Processing</x:v>
      </x:c>
      <x:c r="D4" s="9" t="str">
        <x:v>Critical</x:v>
      </x:c>
      <x:c r="E4" s="9" t="str">
        <x:v>Critical</x:v>
      </x:c>
      <x:c r="F4" s="9" t="str">
        <x:v>Positive</x:v>
      </x:c>
      <x:c r="G4" s="10" t="str">
        <x:v>Staging/QA cô lập; order có các món SERVED, chưa thanh toán; test gateway sandbox và role được cấp.</x:v>
      </x:c>
      <x:c r="H4" s="10" t="str">
        <x:v>1. Xác minh SHA/role/fixture cô lập.
2. Gửi CASH đúng tổng bill; đọc lại payments/order/table.
3. Đọc lại order/session/ledger/audit và đối chiếu expected; dọn fixture thuộc QA.</x:v>
      </x:c>
      <x:c r="I4" s="10" t="str">
        <x:v>amount=total; method=CASH</x:v>
      </x:c>
      <x:c r="J4" s="10" t="str">
        <x:v>Một giao dịch được ghi, tổng đã trả khớp bill; trạng thái order/bàn chuyển đúng contract; audit có actor/thời điểm; HTTP/payload TBD khi route đề xuất.</x:v>
      </x:c>
      <x:c r="K4" s="10"/>
      <x:c r="L4" s="9" t="str">
        <x:v>Not Executed</x:v>
      </x:c>
      <x:c r="M4" s="9"/>
      <x:c r="N4" s="9"/>
      <x:c r="O4" s="10" t="str">
        <x:v>BRD Payment Processing; Board Pha 2</x:v>
      </x:c>
      <x:c r="P4" s="10" t="str">
        <x:v>Có – sau contract &amp; fixture</x:v>
      </x:c>
      <x:c r="Q4" s="10" t="str">
        <x:v>Sprint 4 execution view; P0 QA; Design only; Đề xuất Pha 2. Không suy PASS từ preflight.</x:v>
      </x:c>
      <x:c r="R4" s="10" t="str">
        <x:v>POST /orders/{id}/payments</x:v>
      </x:c>
      <x:c r="S4" s="10" t="str">
        <x:v>Chưa có Postman Pha 2</x:v>
      </x:c>
      <x:c r="T4" s="10" t="str">
        <x:v>SRC-BRD; SRC-BOARD; SRC-CATALOG; SRC-OPENAPI (main snapshot); Sprint 4 view: 29/10/2026; runtime inventory 46d6049</x:v>
      </x:c>
      <x:c r="U4" s="10" t="str">
        <x:v>Contract: Đề xuất Pha 2; RFI: P2-RFI-PAY</x:v>
      </x:c>
    </x:row>
    <x:row r="5" ht="48" customHeight="1">
      <x:c r="A5" s="9" t="str">
        <x:v>P2-PAY-002</x:v>
      </x:c>
      <x:c r="B5" s="10" t="str">
        <x:v>Thanh toán CARD qua sandbox thành công</x:v>
      </x:c>
      <x:c r="C5" s="9" t="str">
        <x:v>Payment Processing</x:v>
      </x:c>
      <x:c r="D5" s="9" t="str">
        <x:v>Critical</x:v>
      </x:c>
      <x:c r="E5" s="9" t="str">
        <x:v>Critical</x:v>
      </x:c>
      <x:c r="F5" s="9" t="str">
        <x:v>Integration</x:v>
      </x:c>
      <x:c r="G5" s="10" t="str">
        <x:v>Staging/QA cô lập; order có các món SERVED, chưa thanh toán; test gateway sandbox và role được cấp.</x:v>
      </x:c>
      <x:c r="H5" s="10" t="str">
        <x:v>1. Xác minh SHA/role/fixture cô lập.
2. Tạo CARD payment và nhận kết quả sandbox thành công.
3. Đọc lại order/session/ledger/audit và đối chiếu expected; dọn fixture thuộc QA.</x:v>
      </x:c>
      <x:c r="I5" s="10" t="str">
        <x:v>tokenized card sandbox</x:v>
      </x:c>
      <x:c r="J5" s="10" t="str">
        <x:v>Chỉ xác nhận PAID sau callback hợp lệ; không lưu PAN/CVV; giao dịch truy vết được; HTTP/payload TBD khi route đề xuất.</x:v>
      </x:c>
      <x:c r="K5" s="10"/>
      <x:c r="L5" s="9" t="str">
        <x:v>Not Executed</x:v>
      </x:c>
      <x:c r="M5" s="9"/>
      <x:c r="N5" s="9"/>
      <x:c r="O5" s="10" t="str">
        <x:v>BRD Payment Processing</x:v>
      </x:c>
      <x:c r="P5" s="10" t="str">
        <x:v>Có – sau contract &amp; fixture</x:v>
      </x:c>
      <x:c r="Q5" s="10" t="str">
        <x:v>Sprint 4 execution view; P0 QA; Design only; Đề xuất Pha 2. Không suy PASS từ preflight.</x:v>
      </x:c>
      <x:c r="R5" s="10" t="str">
        <x:v>POST /orders/{id}/payments</x:v>
      </x:c>
      <x:c r="S5" s="10" t="str">
        <x:v>Chưa có Postman Pha 2</x:v>
      </x:c>
      <x:c r="T5" s="10" t="str">
        <x:v>SRC-BRD; SRC-BOARD; SRC-CATALOG; SRC-OPENAPI (main snapshot); Sprint 4 view: 29/10/2026; runtime inventory 46d6049</x:v>
      </x:c>
      <x:c r="U5" s="10" t="str">
        <x:v>Contract: Đề xuất Pha 2; RFI: P2-RFI-PAY</x:v>
      </x:c>
    </x:row>
    <x:row r="6" ht="48" customHeight="1">
      <x:c r="A6" s="9" t="str">
        <x:v>P2-PAY-003</x:v>
      </x:c>
      <x:c r="B6" s="10" t="str">
        <x:v>Thanh toán QR Pay qua sandbox thành công</x:v>
      </x:c>
      <x:c r="C6" s="9" t="str">
        <x:v>Payment Processing</x:v>
      </x:c>
      <x:c r="D6" s="9" t="str">
        <x:v>Critical</x:v>
      </x:c>
      <x:c r="E6" s="9" t="str">
        <x:v>Critical</x:v>
      </x:c>
      <x:c r="F6" s="9" t="str">
        <x:v>Integration</x:v>
      </x:c>
      <x:c r="G6" s="10" t="str">
        <x:v>Staging/QA cô lập; order có các món SERVED, chưa thanh toán; test gateway sandbox và role được cấp.</x:v>
      </x:c>
      <x:c r="H6" s="10" t="str">
        <x:v>1. Xác minh SHA/role/fixture cô lập.
2. Tạo QR payment; xác nhận callback hợp lệ.
3. Đọc lại order/session/ledger/audit và đối chiếu expected; dọn fixture thuộc QA.</x:v>
      </x:c>
      <x:c r="I6" s="10" t="str">
        <x:v>provider sandbox transaction</x:v>
      </x:c>
      <x:c r="J6" s="10" t="str">
        <x:v>Không đóng bill trước xác nhận; sau xác nhận ghi đúng amount, provider reference và audit; HTTP/payload TBD khi route đề xuất.</x:v>
      </x:c>
      <x:c r="K6" s="10"/>
      <x:c r="L6" s="9" t="str">
        <x:v>Not Executed</x:v>
      </x:c>
      <x:c r="M6" s="9"/>
      <x:c r="N6" s="9"/>
      <x:c r="O6" s="10" t="str">
        <x:v>BRD Payment Processing</x:v>
      </x:c>
      <x:c r="P6" s="10" t="str">
        <x:v>Có – sau contract &amp; fixture</x:v>
      </x:c>
      <x:c r="Q6" s="10" t="str">
        <x:v>Sprint 4 execution view; P0 QA; Design only; Đề xuất Pha 2. Không suy PASS từ preflight.</x:v>
      </x:c>
      <x:c r="R6" s="10" t="str">
        <x:v>POST /orders/{id}/payments</x:v>
      </x:c>
      <x:c r="S6" s="10" t="str">
        <x:v>Chưa có Postman Pha 2</x:v>
      </x:c>
      <x:c r="T6" s="10" t="str">
        <x:v>SRC-BRD; SRC-BOARD; SRC-CATALOG; SRC-OPENAPI (main snapshot); Sprint 4 view: 29/10/2026; runtime inventory 46d6049</x:v>
      </x:c>
      <x:c r="U6" s="10" t="str">
        <x:v>Contract: Đề xuất Pha 2; RFI: P2-RFI-PAY</x:v>
      </x:c>
    </x:row>
    <x:row r="7" ht="48" customHeight="1">
      <x:c r="A7" s="9" t="str">
        <x:v>P2-PAY-004</x:v>
      </x:c>
      <x:c r="B7" s="10" t="str">
        <x:v>Gateway trả thất bại và cho phép thử lại</x:v>
      </x:c>
      <x:c r="C7" s="9" t="str">
        <x:v>Payment Processing</x:v>
      </x:c>
      <x:c r="D7" s="9" t="str">
        <x:v>Critical</x:v>
      </x:c>
      <x:c r="E7" s="9" t="str">
        <x:v>Critical</x:v>
      </x:c>
      <x:c r="F7" s="9" t="str">
        <x:v>Negative</x:v>
      </x:c>
      <x:c r="G7" s="10" t="str">
        <x:v>Staging/QA cô lập; order có các món SERVED, chưa thanh toán; test gateway sandbox và role được cấp.</x:v>
      </x:c>
      <x:c r="H7" s="10" t="str">
        <x:v>1. Xác minh SHA/role/fixture cô lập.
2. Mô phỏng failed callback rồi retry bằng giao dịch mới.
3. Đọc lại order/session/ledger/audit và đối chiếu expected; dọn fixture thuộc QA.</x:v>
      </x:c>
      <x:c r="I7" s="10" t="str">
        <x:v>failed callback + retry</x:v>
      </x:c>
      <x:c r="J7" s="10" t="str">
        <x:v>Bill còn unpaid, không ghi PAID giả; retry không nhân đôi số tiền; HTTP/payload TBD khi route đề xuất.</x:v>
      </x:c>
      <x:c r="K7" s="10"/>
      <x:c r="L7" s="9" t="str">
        <x:v>Not Executed</x:v>
      </x:c>
      <x:c r="M7" s="9"/>
      <x:c r="N7" s="9"/>
      <x:c r="O7" s="10" t="str">
        <x:v>BRD Payment failure recovery</x:v>
      </x:c>
      <x:c r="P7" s="10" t="str">
        <x:v>Có – sau contract &amp; fixture</x:v>
      </x:c>
      <x:c r="Q7" s="10" t="str">
        <x:v>Sprint 4 execution view; P0 QA; Design only; Đề xuất Pha 2. Không suy PASS từ preflight.</x:v>
      </x:c>
      <x:c r="R7" s="10" t="str">
        <x:v>POST /orders/{id}/payments</x:v>
      </x:c>
      <x:c r="S7" s="10" t="str">
        <x:v>Chưa có Postman Pha 2</x:v>
      </x:c>
      <x:c r="T7" s="10" t="str">
        <x:v>SRC-BRD; SRC-BOARD; SRC-CATALOG; SRC-OPENAPI (main snapshot); Sprint 4 view: 29/10/2026; runtime inventory 46d6049</x:v>
      </x:c>
      <x:c r="U7" s="10" t="str">
        <x:v>Contract: Đề xuất Pha 2; RFI: P2-RFI-PAY</x:v>
      </x:c>
    </x:row>
    <x:row r="8" ht="48" customHeight="1">
      <x:c r="A8" s="9" t="str">
        <x:v>P2-PAY-005</x:v>
      </x:c>
      <x:c r="B8" s="10" t="str">
        <x:v>Callback lặp không tạo thanh toán trùng</x:v>
      </x:c>
      <x:c r="C8" s="9" t="str">
        <x:v>Payment Processing</x:v>
      </x:c>
      <x:c r="D8" s="9" t="str">
        <x:v>Critical</x:v>
      </x:c>
      <x:c r="E8" s="9" t="str">
        <x:v>Critical</x:v>
      </x:c>
      <x:c r="F8" s="9" t="str">
        <x:v>Idempotency</x:v>
      </x:c>
      <x:c r="G8" s="10" t="str">
        <x:v>Staging/QA cô lập; order có các món SERVED, chưa thanh toán; test gateway sandbox và role được cấp.</x:v>
      </x:c>
      <x:c r="H8" s="10" t="str">
        <x:v>1. Xác minh SHA/role/fixture cô lập.
2. Gửi hai callback giống nhau có chữ ký hợp lệ.
3. Đọc lại order/session/ledger/audit và đối chiếu expected; dọn fixture thuộc QA.</x:v>
      </x:c>
      <x:c r="I8" s="10" t="str">
        <x:v>same provider event ID</x:v>
      </x:c>
      <x:c r="J8" s="10" t="str">
        <x:v>Một payment/transition duy nhất; các lần lặp được nhận diện idempotent; HTTP/payload TBD khi route đề xuất.</x:v>
      </x:c>
      <x:c r="K8" s="10"/>
      <x:c r="L8" s="9" t="str">
        <x:v>Not Executed</x:v>
      </x:c>
      <x:c r="M8" s="9"/>
      <x:c r="N8" s="9"/>
      <x:c r="O8" s="10" t="str">
        <x:v>BRD Payment confirmation; Data Consistency</x:v>
      </x:c>
      <x:c r="P8" s="10" t="str">
        <x:v>Có – sau contract &amp; fixture</x:v>
      </x:c>
      <x:c r="Q8" s="10" t="str">
        <x:v>Sprint 4 execution view; P0 QA; Design only; Đề xuất Pha 2. Không suy PASS từ preflight.</x:v>
      </x:c>
      <x:c r="R8" s="10" t="str">
        <x:v>POST /payments/webhooks/{provider}</x:v>
      </x:c>
      <x:c r="S8" s="10" t="str">
        <x:v>Chưa có Postman Pha 2</x:v>
      </x:c>
      <x:c r="T8" s="10" t="str">
        <x:v>SRC-BRD; SRC-BOARD; SRC-CATALOG; SRC-OPENAPI (main snapshot); Sprint 4 view: 29/10/2026; runtime inventory 46d6049</x:v>
      </x:c>
      <x:c r="U8" s="10" t="str">
        <x:v>Contract: Đề xuất Pha 2; RFI: P2-RFI-PAY</x:v>
      </x:c>
    </x:row>
    <x:row r="9" ht="48" customHeight="1">
      <x:c r="A9" s="9" t="str">
        <x:v>P2-PAY-006</x:v>
      </x:c>
      <x:c r="B9" s="10" t="str">
        <x:v>Callback sai chữ ký bị từ chối</x:v>
      </x:c>
      <x:c r="C9" s="9" t="str">
        <x:v>Payment Processing</x:v>
      </x:c>
      <x:c r="D9" s="9" t="str">
        <x:v>Critical</x:v>
      </x:c>
      <x:c r="E9" s="9" t="str">
        <x:v>Critical</x:v>
      </x:c>
      <x:c r="F9" s="9" t="str">
        <x:v>Security</x:v>
      </x:c>
      <x:c r="G9" s="10" t="str">
        <x:v>Staging/QA cô lập; order có các món SERVED, chưa thanh toán; test gateway sandbox và role được cấp.</x:v>
      </x:c>
      <x:c r="H9" s="10" t="str">
        <x:v>1. Xác minh SHA/role/fixture cô lập.
2. Gửi callback sai chữ ký/tamper amount.
3. Đọc lại order/session/ledger/audit và đối chiếu expected; dọn fixture thuộc QA.</x:v>
      </x:c>
      <x:c r="I9" s="10" t="str">
        <x:v>signature invalid</x:v>
      </x:c>
      <x:c r="J9" s="10" t="str">
        <x:v>Không ghi payment, không đổi order/table; sự kiện được log an toàn; HTTP/payload TBD khi route đề xuất.</x:v>
      </x:c>
      <x:c r="K9" s="10"/>
      <x:c r="L9" s="9" t="str">
        <x:v>Not Executed</x:v>
      </x:c>
      <x:c r="M9" s="9"/>
      <x:c r="N9" s="9"/>
      <x:c r="O9" s="10" t="str">
        <x:v>BRD Payment Security</x:v>
      </x:c>
      <x:c r="P9" s="10" t="str">
        <x:v>Có – sau contract &amp; fixture</x:v>
      </x:c>
      <x:c r="Q9" s="10" t="str">
        <x:v>Sprint 4 execution view; P0 QA; Design only; Đề xuất Pha 2. Không suy PASS từ preflight.</x:v>
      </x:c>
      <x:c r="R9" s="10" t="str">
        <x:v>POST /payments/webhooks/{provider}</x:v>
      </x:c>
      <x:c r="S9" s="10" t="str">
        <x:v>Chưa có Postman Pha 2</x:v>
      </x:c>
      <x:c r="T9" s="10" t="str">
        <x:v>SRC-BRD; SRC-BOARD; SRC-CATALOG; SRC-OPENAPI (main snapshot); Sprint 4 view: 29/10/2026; runtime inventory 46d6049</x:v>
      </x:c>
      <x:c r="U9" s="10" t="str">
        <x:v>Contract: Đề xuất Pha 2; RFI: P2-RFI-PAY</x:v>
      </x:c>
    </x:row>
    <x:row r="10" ht="48" customHeight="1">
      <x:c r="A10" s="9" t="str">
        <x:v>P2-PAY-007</x:v>
      </x:c>
      <x:c r="B10" s="10" t="str">
        <x:v>Thiếu số tiền hoặc phương thức không hợp lệ</x:v>
      </x:c>
      <x:c r="C10" s="9" t="str">
        <x:v>Payment Processing</x:v>
      </x:c>
      <x:c r="D10" s="9" t="str">
        <x:v>High</x:v>
      </x:c>
      <x:c r="E10" s="9" t="str">
        <x:v>High</x:v>
      </x:c>
      <x:c r="F10" s="9" t="str">
        <x:v>Validation</x:v>
      </x:c>
      <x:c r="G10" s="10" t="str">
        <x:v>Staging/QA cô lập; order có các món SERVED, chưa thanh toán; test gateway sandbox và role được cấp.</x:v>
      </x:c>
      <x:c r="H10" s="10" t="str">
        <x:v>1. Xác minh SHA/role/fixture cô lập.
2. Gửi thiếu amount, amount ≤ 0, hoặc method ngoài danh mục.
3. Đọc lại order/session/ledger/audit và đối chiếu expected; dọn fixture thuộc QA.</x:v>
      </x:c>
      <x:c r="I10" s="10" t="str">
        <x:v>amount=0; method=UNKNOWN</x:v>
      </x:c>
      <x:c r="J10" s="10" t="str">
        <x:v>Request bị từ chối theo mã lỗi contract; không có payment mới; HTTP/payload TBD khi route đề xuất.</x:v>
      </x:c>
      <x:c r="K10" s="10"/>
      <x:c r="L10" s="9" t="str">
        <x:v>Not Executed</x:v>
      </x:c>
      <x:c r="M10" s="9"/>
      <x:c r="N10" s="9"/>
      <x:c r="O10" s="10" t="str">
        <x:v>BRD Payment Processing</x:v>
      </x:c>
      <x:c r="P10" s="10" t="str">
        <x:v>Có – sau contract &amp; fixture</x:v>
      </x:c>
      <x:c r="Q10" s="10" t="str">
        <x:v>Sprint 4 execution view; P1 QA; Design only; Đề xuất Pha 2. Không suy PASS từ preflight.</x:v>
      </x:c>
      <x:c r="R10" s="10" t="str">
        <x:v>POST /orders/{id}/payments</x:v>
      </x:c>
      <x:c r="S10" s="10" t="str">
        <x:v>Chưa có Postman Pha 2</x:v>
      </x:c>
      <x:c r="T10" s="10" t="str">
        <x:v>SRC-BRD; SRC-BOARD; SRC-CATALOG; SRC-OPENAPI (main snapshot); Sprint 4 view: 29/10/2026; runtime inventory 46d6049</x:v>
      </x:c>
      <x:c r="U10" s="10" t="str">
        <x:v>Contract: Đề xuất Pha 2; RFI: P2-RFI-PAY</x:v>
      </x:c>
    </x:row>
    <x:row r="11" ht="48" customHeight="1">
      <x:c r="A11" s="9" t="str">
        <x:v>P2-PAY-008</x:v>
      </x:c>
      <x:c r="B11" s="10" t="str">
        <x:v>Split bill tổng bằng bill gốc</x:v>
      </x:c>
      <x:c r="C11" s="9" t="str">
        <x:v>Payment Processing</x:v>
      </x:c>
      <x:c r="D11" s="9" t="str">
        <x:v>Critical</x:v>
      </x:c>
      <x:c r="E11" s="9" t="str">
        <x:v>Critical</x:v>
      </x:c>
      <x:c r="F11" s="9" t="str">
        <x:v>Positive</x:v>
      </x:c>
      <x:c r="G11" s="10" t="str">
        <x:v>Staging/QA cô lập; order có các món SERVED, chưa thanh toán; test gateway sandbox và role được cấp.</x:v>
      </x:c>
      <x:c r="H11" s="10" t="str">
        <x:v>1. Xác minh SHA/role/fixture cô lập.
2. Tách theo món/số tiền theo luật đã chốt, thanh toán từng phần.
3. Đọc lại order/session/ledger/audit và đối chiếu expected; dọn fixture thuộc QA.</x:v>
      </x:c>
      <x:c r="I11" s="10" t="str">
        <x:v>hai nhóm món; discount/fee</x:v>
      </x:c>
      <x:c r="J11" s="10" t="str">
        <x:v>Các phần tổng hợp khớp bill gốc, tax/discount/fee phân bổ đúng; bàn chưa đóng khi còn unpaid; HTTP/payload TBD khi route đề xuất.</x:v>
      </x:c>
      <x:c r="K11" s="10"/>
      <x:c r="L11" s="9" t="str">
        <x:v>Not Executed</x:v>
      </x:c>
      <x:c r="M11" s="9"/>
      <x:c r="N11" s="9"/>
      <x:c r="O11" s="10" t="str">
        <x:v>BR-SB-003/004/005/006/009</x:v>
      </x:c>
      <x:c r="P11" s="10" t="str">
        <x:v>Có – sau contract &amp; fixture</x:v>
      </x:c>
      <x:c r="Q11" s="10" t="str">
        <x:v>Sprint 4 execution view; P0 QA; Design only; Đề xuất Pha 2. Không suy PASS từ preflight.</x:v>
      </x:c>
      <x:c r="R11" s="10" t="str">
        <x:v>POST /orders/{id}/split-bill</x:v>
      </x:c>
      <x:c r="S11" s="10" t="str">
        <x:v>Chưa có Postman Pha 2</x:v>
      </x:c>
      <x:c r="T11" s="10" t="str">
        <x:v>SRC-BRD; SRC-BOARD; SRC-CATALOG; SRC-OPENAPI (main snapshot); Sprint 4 view: 29/10/2026; runtime inventory 46d6049</x:v>
      </x:c>
      <x:c r="U11" s="10" t="str">
        <x:v>Contract: Đề xuất Pha 2; RFI: P2-RFI-SPLIT</x:v>
      </x:c>
    </x:row>
    <x:row r="12" ht="48" customHeight="1">
      <x:c r="A12" s="9" t="str">
        <x:v>P2-PAY-009</x:v>
      </x:c>
      <x:c r="B12" s="10" t="str">
        <x:v>Không chuyển món đã trả sang bill khác</x:v>
      </x:c>
      <x:c r="C12" s="9" t="str">
        <x:v>Payment Processing</x:v>
      </x:c>
      <x:c r="D12" s="9" t="str">
        <x:v>High</x:v>
      </x:c>
      <x:c r="E12" s="9" t="str">
        <x:v>High</x:v>
      </x:c>
      <x:c r="F12" s="9" t="str">
        <x:v>Negative</x:v>
      </x:c>
      <x:c r="G12" s="10" t="str">
        <x:v>Staging/QA cô lập; order có các món SERVED, chưa thanh toán; test gateway sandbox và role được cấp.</x:v>
      </x:c>
      <x:c r="H12" s="10" t="str">
        <x:v>1. Xác minh SHA/role/fixture cô lập.
2. Thanh toán một bill con rồi thử chuyển món đã trả.
3. Đọc lại order/session/ledger/audit và đối chiếu expected; dọn fixture thuộc QA.</x:v>
      </x:c>
      <x:c r="I12" s="10" t="str">
        <x:v>một split đã PAID</x:v>
      </x:c>
      <x:c r="J12" s="10" t="str">
        <x:v>Chặn thay đổi, phần đã trả và audit giữ nguyên; HTTP/payload TBD khi route đề xuất.</x:v>
      </x:c>
      <x:c r="K12" s="10"/>
      <x:c r="L12" s="9" t="str">
        <x:v>Not Executed</x:v>
      </x:c>
      <x:c r="M12" s="9"/>
      <x:c r="N12" s="9"/>
      <x:c r="O12" s="10" t="str">
        <x:v>BR-SB-002/008</x:v>
      </x:c>
      <x:c r="P12" s="10" t="str">
        <x:v>Có – sau contract &amp; fixture</x:v>
      </x:c>
      <x:c r="Q12" s="10" t="str">
        <x:v>Sprint 4 execution view; P1 QA; Design only; Đề xuất Pha 2. Không suy PASS từ preflight.</x:v>
      </x:c>
      <x:c r="R12" s="10" t="str">
        <x:v>POST /orders/{id}/split-bill</x:v>
      </x:c>
      <x:c r="S12" s="10" t="str">
        <x:v>Chưa có Postman Pha 2</x:v>
      </x:c>
      <x:c r="T12" s="10" t="str">
        <x:v>SRC-BRD; SRC-BOARD; SRC-CATALOG; SRC-OPENAPI (main snapshot); Sprint 4 view: 29/10/2026; runtime inventory 46d6049</x:v>
      </x:c>
      <x:c r="U12" s="10" t="str">
        <x:v>Contract: Đề xuất Pha 2; RFI: P2-RFI-SPLIT</x:v>
      </x:c>
    </x:row>
    <x:row r="13" ht="48" customHeight="1">
      <x:c r="A13" s="9" t="str">
        <x:v>P2-PAY-010</x:v>
      </x:c>
      <x:c r="B13" s="10" t="str">
        <x:v>Bấm xác nhận split hai lần</x:v>
      </x:c>
      <x:c r="C13" s="9" t="str">
        <x:v>Payment Processing</x:v>
      </x:c>
      <x:c r="D13" s="9" t="str">
        <x:v>High</x:v>
      </x:c>
      <x:c r="E13" s="9" t="str">
        <x:v>High</x:v>
      </x:c>
      <x:c r="F13" s="9" t="str">
        <x:v>Concurrency</x:v>
      </x:c>
      <x:c r="G13" s="10" t="str">
        <x:v>Staging/QA cô lập; order có các món SERVED, chưa thanh toán; test gateway sandbox và role được cấp.</x:v>
      </x:c>
      <x:c r="H13" s="10" t="str">
        <x:v>1. Xác minh SHA/role/fixture cô lập.
2. Gửi cùng request/key lặp trong 3 giây.
3. Đọc lại order/session/ledger/audit và đối chiếu expected; dọn fixture thuộc QA.</x:v>
      </x:c>
      <x:c r="I13" s="10" t="str">
        <x:v>same key / double tap</x:v>
      </x:c>
      <x:c r="J13" s="10" t="str">
        <x:v>Không tạo thêm bill con; audit không nhân đôi business action; HTTP/payload TBD khi route đề xuất.</x:v>
      </x:c>
      <x:c r="K13" s="10"/>
      <x:c r="L13" s="9" t="str">
        <x:v>Not Executed</x:v>
      </x:c>
      <x:c r="M13" s="9"/>
      <x:c r="N13" s="9"/>
      <x:c r="O13" s="10" t="str">
        <x:v>BR-SB-010/011</x:v>
      </x:c>
      <x:c r="P13" s="10" t="str">
        <x:v>Có – sau contract &amp; fixture</x:v>
      </x:c>
      <x:c r="Q13" s="10" t="str">
        <x:v>Sprint 4 execution view; P1 QA; Design only; Đề xuất Pha 2. Không suy PASS từ preflight.</x:v>
      </x:c>
      <x:c r="R13" s="10" t="str">
        <x:v>POST /orders/{id}/split-bill</x:v>
      </x:c>
      <x:c r="S13" s="10" t="str">
        <x:v>Chưa có Postman Pha 2</x:v>
      </x:c>
      <x:c r="T13" s="10" t="str">
        <x:v>SRC-BRD; SRC-BOARD; SRC-CATALOG; SRC-OPENAPI (main snapshot); Sprint 4 view: 29/10/2026; runtime inventory 46d6049</x:v>
      </x:c>
      <x:c r="U13" s="10" t="str">
        <x:v>Contract: Đề xuất Pha 2; RFI: P2-RFI-SPLIT</x:v>
      </x:c>
    </x:row>
    <x:row r="14" ht="48" customHeight="1">
      <x:c r="A14" s="9" t="str">
        <x:v>P2-PAY-011</x:v>
      </x:c>
      <x:c r="B14" s="10" t="str">
        <x:v>Cashier và Supervisor được thanh toán, Waiter bị chặn</x:v>
      </x:c>
      <x:c r="C14" s="9" t="str">
        <x:v>Payment Processing</x:v>
      </x:c>
      <x:c r="D14" s="9" t="str">
        <x:v>Critical</x:v>
      </x:c>
      <x:c r="E14" s="9" t="str">
        <x:v>Critical</x:v>
      </x:c>
      <x:c r="F14" s="9" t="str">
        <x:v>RBAC</x:v>
      </x:c>
      <x:c r="G14" s="10" t="str">
        <x:v>Staging/QA cô lập; order có các món SERVED, chưa thanh toán; test gateway sandbox và role được cấp.</x:v>
      </x:c>
      <x:c r="H14" s="10" t="str">
        <x:v>1. Xác minh SHA/role/fixture cô lập.
2. Gửi cùng business action với ba role, mỗi lượt fixture riêng.
3. Đọc lại order/session/ledger/audit và đối chiếu expected; dọn fixture thuộc QA.</x:v>
      </x:c>
      <x:c r="I14" s="10" t="str">
        <x:v>CASHIER/SUPERVISOR/WAITER</x:v>
      </x:c>
      <x:c r="J14" s="10" t="str">
        <x:v>Role hợp lệ được xử lý; role không hợp lệ không đổi dữ liệu; xác nhận lại mâu thuẫn Customer trong matrix; HTTP/payload TBD khi route đề xuất.</x:v>
      </x:c>
      <x:c r="K14" s="10"/>
      <x:c r="L14" s="9" t="str">
        <x:v>Not Executed</x:v>
      </x:c>
      <x:c r="M14" s="9"/>
      <x:c r="N14" s="9"/>
      <x:c r="O14" s="10" t="str">
        <x:v>BRD Permission Matrix: Process Payment; catalog Pha 1 /pay</x:v>
      </x:c>
      <x:c r="P14" s="10" t="str">
        <x:v>Có – sau contract &amp; fixture</x:v>
      </x:c>
      <x:c r="Q14" s="10" t="str">
        <x:v>Sprint 4 execution view; P0 QA; Design only; Đề xuất Pha 2. Không suy PASS từ preflight.</x:v>
      </x:c>
      <x:c r="R14" s="10" t="str">
        <x:v>POST /orders/{id}/payments</x:v>
      </x:c>
      <x:c r="S14" s="10" t="str">
        <x:v>Chưa có Postman Pha 2</x:v>
      </x:c>
      <x:c r="T14" s="10" t="str">
        <x:v>SRC-BRD; SRC-BOARD; SRC-CATALOG; SRC-OPENAPI (main snapshot); Sprint 4 view: 29/10/2026; runtime inventory 46d6049</x:v>
      </x:c>
      <x:c r="U14" s="10" t="str">
        <x:v>Contract: Đề xuất Pha 2; RFI: P2-RFI-ROLE</x:v>
      </x:c>
    </x:row>
    <x:row r="15" ht="48" customHeight="1">
      <x:c r="A15" s="9" t="str">
        <x:v>P2-TBL-001</x:v>
      </x:c>
      <x:c r="B15" s="10" t="str">
        <x:v>Transfer giữ nguyên session/order/ticket</x:v>
      </x:c>
      <x:c r="C15" s="9" t="str">
        <x:v>Table Management nâng cao</x:v>
      </x:c>
      <x:c r="D15" s="9" t="str">
        <x:v>Critical</x:v>
      </x:c>
      <x:c r="E15" s="9" t="str">
        <x:v>Critical</x:v>
      </x:c>
      <x:c r="F15" s="9" t="str">
        <x:v>Positive</x:v>
      </x:c>
      <x:c r="G15" s="10" t="str">
        <x:v>Hai bàn QA riêng trong cùng outlet; session/order/ticket có ID và trạng thái đã chụp trước thao tác.</x:v>
      </x:c>
      <x:c r="H15" s="10" t="str">
        <x:v>1. Xác minh SHA/role/fixture cô lập.
2. Chuyển session từ bàn OCCUPIED sang bàn AVAILABLE cùng outlet.
3. Đọc lại order/session/ledger/audit và đối chiếu expected; dọn fixture thuộc QA.</x:v>
      </x:c>
      <x:c r="I15" s="10" t="str">
        <x:v>QA fixture cô lập</x:v>
      </x:c>
      <x:c r="J15" s="10" t="str">
        <x:v>Giữ session ID, order/ticket; bàn nguồn AVAILABLE, đích OCCUPIED; audit có actor/time; HTTP/payload TBD khi route đề xuất.</x:v>
      </x:c>
      <x:c r="K15" s="10"/>
      <x:c r="L15" s="9" t="str">
        <x:v>Not Executed</x:v>
      </x:c>
      <x:c r="M15" s="9"/>
      <x:c r="N15" s="9"/>
      <x:c r="O15" s="10" t="str">
        <x:v>BR-TT-001/002/004/005/010/011</x:v>
      </x:c>
      <x:c r="P15" s="10" t="str">
        <x:v>Có – sau contract &amp; fixture</x:v>
      </x:c>
      <x:c r="Q15" s="10" t="str">
        <x:v>Sprint 4 execution view; P0 QA; Design only; Đề xuất Pha 2. Không suy PASS từ preflight.</x:v>
      </x:c>
      <x:c r="R15" s="10" t="str">
        <x:v>POST /tables/{id}/transfer</x:v>
      </x:c>
      <x:c r="S15" s="10" t="str">
        <x:v>Chưa có Postman Pha 2</x:v>
      </x:c>
      <x:c r="T15" s="10" t="str">
        <x:v>SRC-BRD; SRC-BOARD; SRC-CATALOG; SRC-OPENAPI (main snapshot); Sprint 4 view: 29/10/2026; runtime inventory 46d6049</x:v>
      </x:c>
      <x:c r="U15" s="10" t="str">
        <x:v>Contract: Đề xuất Pha 2; RFI: P2-RFI-TABLE</x:v>
      </x:c>
    </x:row>
    <x:row r="16" ht="48" customHeight="1">
      <x:c r="A16" s="9" t="str">
        <x:v>P2-TBL-002</x:v>
      </x:c>
      <x:c r="B16" s="10" t="str">
        <x:v>Transfer sang bàn đang OCCUPIED bị chặn</x:v>
      </x:c>
      <x:c r="C16" s="9" t="str">
        <x:v>Table Management nâng cao</x:v>
      </x:c>
      <x:c r="D16" s="9" t="str">
        <x:v>Critical</x:v>
      </x:c>
      <x:c r="E16" s="9" t="str">
        <x:v>Critical</x:v>
      </x:c>
      <x:c r="F16" s="9" t="str">
        <x:v>Negative</x:v>
      </x:c>
      <x:c r="G16" s="10" t="str">
        <x:v>Hai bàn QA riêng trong cùng outlet; session/order/ticket có ID và trạng thái đã chụp trước thao tác.</x:v>
      </x:c>
      <x:c r="H16" s="10" t="str">
        <x:v>1. Xác minh SHA/role/fixture cô lập.
2. Chọn bàn đích đã có active session.
3. Đọc lại order/session/ledger/audit và đối chiếu expected; dọn fixture thuộc QA.</x:v>
      </x:c>
      <x:c r="I16" s="10" t="str">
        <x:v>QA fixture cô lập</x:v>
      </x:c>
      <x:c r="J16" s="10" t="str">
        <x:v>Không ghi đè session đích; nguồn/đích/order giữ nguyên; HTTP/payload TBD khi route đề xuất.</x:v>
      </x:c>
      <x:c r="K16" s="10"/>
      <x:c r="L16" s="9" t="str">
        <x:v>Not Executed</x:v>
      </x:c>
      <x:c r="M16" s="9"/>
      <x:c r="N16" s="9"/>
      <x:c r="O16" s="10" t="str">
        <x:v>BR-TT-002</x:v>
      </x:c>
      <x:c r="P16" s="10" t="str">
        <x:v>Có – sau contract &amp; fixture</x:v>
      </x:c>
      <x:c r="Q16" s="10" t="str">
        <x:v>Sprint 4 execution view; P0 QA; Design only; Đề xuất Pha 2. Không suy PASS từ preflight.</x:v>
      </x:c>
      <x:c r="R16" s="10" t="str">
        <x:v>POST /tables/{id}/transfer</x:v>
      </x:c>
      <x:c r="S16" s="10" t="str">
        <x:v>Chưa có Postman Pha 2</x:v>
      </x:c>
      <x:c r="T16" s="10" t="str">
        <x:v>SRC-BRD; SRC-BOARD; SRC-CATALOG; SRC-OPENAPI (main snapshot); Sprint 4 view: 29/10/2026; runtime inventory 46d6049</x:v>
      </x:c>
      <x:c r="U16" s="10" t="str">
        <x:v>Contract: Đề xuất Pha 2; RFI: P2-RFI-TABLE</x:v>
      </x:c>
    </x:row>
    <x:row r="17" ht="48" customHeight="1">
      <x:c r="A17" s="9" t="str">
        <x:v>P2-TBL-003</x:v>
      </x:c>
      <x:c r="B17" s="10" t="str">
        <x:v>Transfer sau thanh toán bị chặn</x:v>
      </x:c>
      <x:c r="C17" s="9" t="str">
        <x:v>Table Management nâng cao</x:v>
      </x:c>
      <x:c r="D17" s="9" t="str">
        <x:v>High</x:v>
      </x:c>
      <x:c r="E17" s="9" t="str">
        <x:v>High</x:v>
      </x:c>
      <x:c r="F17" s="9" t="str">
        <x:v>State Guard</x:v>
      </x:c>
      <x:c r="G17" s="10" t="str">
        <x:v>Hai bàn QA riêng trong cùng outlet; session/order/ticket có ID và trạng thái đã chụp trước thao tác.</x:v>
      </x:c>
      <x:c r="H17" s="10" t="str">
        <x:v>1. Xác minh SHA/role/fixture cô lập.
2. Thử chuyển order PAID và order BILLING.
3. Đọc lại order/session/ledger/audit và đối chiếu expected; dọn fixture thuộc QA.</x:v>
      </x:c>
      <x:c r="I17" s="10" t="str">
        <x:v>QA fixture cô lập</x:v>
      </x:c>
      <x:c r="J17" s="10" t="str">
        <x:v>PAID bị chặn; BILLING xử lý theo role policy PO/BE, không sửa sai số tiền; HTTP/payload TBD khi route đề xuất.</x:v>
      </x:c>
      <x:c r="K17" s="10"/>
      <x:c r="L17" s="9" t="str">
        <x:v>Not Executed</x:v>
      </x:c>
      <x:c r="M17" s="9"/>
      <x:c r="N17" s="9"/>
      <x:c r="O17" s="10" t="str">
        <x:v>BR-TT-003/009</x:v>
      </x:c>
      <x:c r="P17" s="10" t="str">
        <x:v>Có – sau contract &amp; fixture</x:v>
      </x:c>
      <x:c r="Q17" s="10" t="str">
        <x:v>Sprint 4 execution view; P1 QA; Design only; Đề xuất Pha 2. Không suy PASS từ preflight.</x:v>
      </x:c>
      <x:c r="R17" s="10" t="str">
        <x:v>POST /tables/{id}/transfer</x:v>
      </x:c>
      <x:c r="S17" s="10" t="str">
        <x:v>Chưa có Postman Pha 2</x:v>
      </x:c>
      <x:c r="T17" s="10" t="str">
        <x:v>SRC-BRD; SRC-BOARD; SRC-CATALOG; SRC-OPENAPI (main snapshot); Sprint 4 view: 29/10/2026; runtime inventory 46d6049</x:v>
      </x:c>
      <x:c r="U17" s="10" t="str">
        <x:v>Contract: Đề xuất Pha 2; RFI: P2-RFI-TABLE</x:v>
      </x:c>
    </x:row>
    <x:row r="18" ht="48" customHeight="1">
      <x:c r="A18" s="9" t="str">
        <x:v>P2-TBL-004</x:v>
      </x:c>
      <x:c r="B18" s="10" t="str">
        <x:v>Transfer đồng bộ KDS và QR đúng bàn</x:v>
      </x:c>
      <x:c r="C18" s="9" t="str">
        <x:v>Table Management nâng cao</x:v>
      </x:c>
      <x:c r="D18" s="9" t="str">
        <x:v>Critical</x:v>
      </x:c>
      <x:c r="E18" s="9" t="str">
        <x:v>Critical</x:v>
      </x:c>
      <x:c r="F18" s="9" t="str">
        <x:v>Integration</x:v>
      </x:c>
      <x:c r="G18" s="10" t="str">
        <x:v>Hai bàn QA riêng trong cùng outlet; session/order/ticket có ID và trạng thái đã chụp trước thao tác.</x:v>
      </x:c>
      <x:c r="H18" s="10" t="str">
        <x:v>1. Xác minh SHA/role/fixture cô lập.
2. Chuyển bàn khi ticket đang IN_PROGRESS và QR còn hiệu lực.
3. Đọc lại order/session/ledger/audit và đối chiếu expected; dọn fixture thuộc QA.</x:v>
      </x:c>
      <x:c r="I18" s="10" t="str">
        <x:v>QA fixture cô lập</x:v>
      </x:c>
      <x:c r="J18" s="10" t="str">
        <x:v>Ticket gốc vẫn liên kết; nhãn bàn mới, QR remap; thiết bị đồng bộ ≤2s nếu môi trường đo được; HTTP/payload TBD khi route đề xuất.</x:v>
      </x:c>
      <x:c r="K18" s="10"/>
      <x:c r="L18" s="9" t="str">
        <x:v>Not Executed</x:v>
      </x:c>
      <x:c r="M18" s="9"/>
      <x:c r="N18" s="9"/>
      <x:c r="O18" s="10" t="str">
        <x:v>BR-TT-005/006/007</x:v>
      </x:c>
      <x:c r="P18" s="10" t="str">
        <x:v>Có – sau contract &amp; fixture</x:v>
      </x:c>
      <x:c r="Q18" s="10" t="str">
        <x:v>Sprint 4 execution view; P0 QA; Design only; Đề xuất Pha 2. Không suy PASS từ preflight.</x:v>
      </x:c>
      <x:c r="R18" s="10" t="str">
        <x:v>POST /tables/{id}/transfer</x:v>
      </x:c>
      <x:c r="S18" s="10" t="str">
        <x:v>Chưa có Postman Pha 2</x:v>
      </x:c>
      <x:c r="T18" s="10" t="str">
        <x:v>SRC-BRD; SRC-BOARD; SRC-CATALOG; SRC-OPENAPI (main snapshot); Sprint 4 view: 29/10/2026; runtime inventory 46d6049</x:v>
      </x:c>
      <x:c r="U18" s="10" t="str">
        <x:v>Contract: Đề xuất Pha 2; RFI: P2-RFI-TABLE</x:v>
      </x:c>
    </x:row>
    <x:row r="19" ht="48" customHeight="1">
      <x:c r="A19" s="9" t="str">
        <x:v>P2-TBL-005</x:v>
      </x:c>
      <x:c r="B19" s="10" t="str">
        <x:v>Transfer lặp và concurrent không nhân đôi</x:v>
      </x:c>
      <x:c r="C19" s="9" t="str">
        <x:v>Table Management nâng cao</x:v>
      </x:c>
      <x:c r="D19" s="9" t="str">
        <x:v>Critical</x:v>
      </x:c>
      <x:c r="E19" s="9" t="str">
        <x:v>Critical</x:v>
      </x:c>
      <x:c r="F19" s="9" t="str">
        <x:v>Concurrency</x:v>
      </x:c>
      <x:c r="G19" s="10" t="str">
        <x:v>Hai bàn QA riêng trong cùng outlet; session/order/ticket có ID và trạng thái đã chụp trước thao tác.</x:v>
      </x:c>
      <x:c r="H19" s="10" t="str">
        <x:v>1. Xác minh SHA/role/fixture cô lập.
2. Gửi cùng key rồi hai key đồng thời cho cùng session.
3. Đọc lại order/session/ledger/audit và đối chiếu expected; dọn fixture thuộc QA.</x:v>
      </x:c>
      <x:c r="I19" s="10" t="str">
        <x:v>QA fixture cô lập</x:v>
      </x:c>
      <x:c r="J19" s="10" t="str">
        <x:v>Chỉ một chuyển có hiệu lực, bên còn lại conflict có thể truy vết; không bỏ orphan session; HTTP/payload TBD khi route đề xuất.</x:v>
      </x:c>
      <x:c r="K19" s="10"/>
      <x:c r="L19" s="9" t="str">
        <x:v>Not Executed</x:v>
      </x:c>
      <x:c r="M19" s="9"/>
      <x:c r="N19" s="9"/>
      <x:c r="O19" s="10" t="str">
        <x:v>BR-TT-008/013</x:v>
      </x:c>
      <x:c r="P19" s="10" t="str">
        <x:v>Có – sau contract &amp; fixture</x:v>
      </x:c>
      <x:c r="Q19" s="10" t="str">
        <x:v>Sprint 4 execution view; P0 QA; Design only; Đề xuất Pha 2. Không suy PASS từ preflight.</x:v>
      </x:c>
      <x:c r="R19" s="10" t="str">
        <x:v>POST /tables/{id}/transfer</x:v>
      </x:c>
      <x:c r="S19" s="10" t="str">
        <x:v>Chưa có Postman Pha 2</x:v>
      </x:c>
      <x:c r="T19" s="10" t="str">
        <x:v>SRC-BRD; SRC-BOARD; SRC-CATALOG; SRC-OPENAPI (main snapshot); Sprint 4 view: 29/10/2026; runtime inventory 46d6049</x:v>
      </x:c>
      <x:c r="U19" s="10" t="str">
        <x:v>Contract: Đề xuất Pha 2; RFI: P2-RFI-TABLE</x:v>
      </x:c>
    </x:row>
    <x:row r="20" ht="48" customHeight="1">
      <x:c r="A20" s="9" t="str">
        <x:v>P2-TBL-006</x:v>
      </x:c>
      <x:c r="B20" s="10" t="str">
        <x:v>Transfer kiểm tra sức chứa</x:v>
      </x:c>
      <x:c r="C20" s="9" t="str">
        <x:v>Table Management nâng cao</x:v>
      </x:c>
      <x:c r="D20" s="9" t="str">
        <x:v>High</x:v>
      </x:c>
      <x:c r="E20" s="9" t="str">
        <x:v>High</x:v>
      </x:c>
      <x:c r="F20" s="9" t="str">
        <x:v>Boundary</x:v>
      </x:c>
      <x:c r="G20" s="10" t="str">
        <x:v>Hai bàn QA riêng trong cùng outlet; session/order/ticket có ID và trạng thái đã chụp trước thao tác.</x:v>
      </x:c>
      <x:c r="H20" s="10" t="str">
        <x:v>1. Xác minh SHA/role/fixture cô lập.
2. Chọn bàn đích ít ghế hơn guest_count.
3. Đọc lại order/session/ledger/audit và đối chiếu expected; dọn fixture thuộc QA.</x:v>
      </x:c>
      <x:c r="I20" s="10" t="str">
        <x:v>guest_count &gt; seats</x:v>
      </x:c>
      <x:c r="J20" s="10" t="str">
        <x:v>Chặn hoặc yêu cầu override theo policy; không thay đổi dữ liệu khi từ chối; HTTP/payload TBD khi route đề xuất.</x:v>
      </x:c>
      <x:c r="K20" s="10"/>
      <x:c r="L20" s="9" t="str">
        <x:v>Not Executed</x:v>
      </x:c>
      <x:c r="M20" s="9"/>
      <x:c r="N20" s="9"/>
      <x:c r="O20" s="10" t="str">
        <x:v>BR-TT-014</x:v>
      </x:c>
      <x:c r="P20" s="10" t="str">
        <x:v>Có – sau contract &amp; fixture</x:v>
      </x:c>
      <x:c r="Q20" s="10" t="str">
        <x:v>Sprint 4 execution view; P1 QA; Design only; Đề xuất Pha 2. Không suy PASS từ preflight.</x:v>
      </x:c>
      <x:c r="R20" s="10" t="str">
        <x:v>POST /tables/{id}/transfer</x:v>
      </x:c>
      <x:c r="S20" s="10" t="str">
        <x:v>Chưa có Postman Pha 2</x:v>
      </x:c>
      <x:c r="T20" s="10" t="str">
        <x:v>SRC-BRD; SRC-BOARD; SRC-CATALOG; SRC-OPENAPI (main snapshot); Sprint 4 view: 29/10/2026; runtime inventory 46d6049</x:v>
      </x:c>
      <x:c r="U20" s="10" t="str">
        <x:v>Contract: Đề xuất Pha 2; RFI: P2-RFI-TABLE</x:v>
      </x:c>
    </x:row>
    <x:row r="21" ht="48" customHeight="1">
      <x:c r="A21" s="9" t="str">
        <x:v>P2-TBL-007</x:v>
      </x:c>
      <x:c r="B21" s="10" t="str">
        <x:v>Merge hai bàn active vào master session</x:v>
      </x:c>
      <x:c r="C21" s="9" t="str">
        <x:v>Table Management nâng cao</x:v>
      </x:c>
      <x:c r="D21" s="9" t="str">
        <x:v>Critical</x:v>
      </x:c>
      <x:c r="E21" s="9" t="str">
        <x:v>Critical</x:v>
      </x:c>
      <x:c r="F21" s="9" t="str">
        <x:v>Positive</x:v>
      </x:c>
      <x:c r="G21" s="10" t="str">
        <x:v>Hai bàn QA riêng trong cùng outlet; session/order/ticket có ID và trạng thái đã chụp trước thao tác.</x:v>
      </x:c>
      <x:c r="H21" s="10" t="str">
        <x:v>1. Xác minh SHA/role/fixture cô lập.
2. Gộp hai bàn OCCUPIED có order và ticket riêng.
3. Đọc lại order/session/ledger/audit và đối chiếu expected; dọn fixture thuộc QA.</x:v>
      </x:c>
      <x:c r="I21" s="10" t="str">
        <x:v>QA fixture cô lập</x:v>
      </x:c>
      <x:c r="J21" s="10" t="str">
        <x:v>Một master session; lịch sử nguồn và ticket giữ tham chiếu; bill gồm món unpaid, audit đủ; HTTP/payload TBD khi route đề xuất.</x:v>
      </x:c>
      <x:c r="K21" s="10"/>
      <x:c r="L21" s="9" t="str">
        <x:v>Not Executed</x:v>
      </x:c>
      <x:c r="M21" s="9"/>
      <x:c r="N21" s="9"/>
      <x:c r="O21" s="10" t="str">
        <x:v>BR-MT-003/004/005/006/013</x:v>
      </x:c>
      <x:c r="P21" s="10" t="str">
        <x:v>Có – sau contract &amp; fixture</x:v>
      </x:c>
      <x:c r="Q21" s="10" t="str">
        <x:v>Sprint 4 execution view; P0 QA; Design only; Đề xuất Pha 2. Không suy PASS từ preflight.</x:v>
      </x:c>
      <x:c r="R21" s="10" t="str">
        <x:v>POST /tables/merge</x:v>
      </x:c>
      <x:c r="S21" s="10" t="str">
        <x:v>Chưa có Postman Pha 2</x:v>
      </x:c>
      <x:c r="T21" s="10" t="str">
        <x:v>SRC-BRD; SRC-BOARD; SRC-CATALOG; SRC-OPENAPI (main snapshot); Sprint 4 view: 29/10/2026; runtime inventory 46d6049</x:v>
      </x:c>
      <x:c r="U21" s="10" t="str">
        <x:v>Contract: Đề xuất Pha 2; RFI: P2-RFI-TABLE</x:v>
      </x:c>
    </x:row>
    <x:row r="22" ht="48" customHeight="1">
      <x:c r="A22" s="9" t="str">
        <x:v>P2-TBL-008</x:v>
      </x:c>
      <x:c r="B22" s="10" t="str">
        <x:v>Merge bàn BILLING/CLEANING bị chặn</x:v>
      </x:c>
      <x:c r="C22" s="9" t="str">
        <x:v>Table Management nâng cao</x:v>
      </x:c>
      <x:c r="D22" s="9" t="str">
        <x:v>High</x:v>
      </x:c>
      <x:c r="E22" s="9" t="str">
        <x:v>High</x:v>
      </x:c>
      <x:c r="F22" s="9" t="str">
        <x:v>Negative</x:v>
      </x:c>
      <x:c r="G22" s="10" t="str">
        <x:v>Hai bàn QA riêng trong cùng outlet; session/order/ticket có ID và trạng thái đã chụp trước thao tác.</x:v>
      </x:c>
      <x:c r="H22" s="10" t="str">
        <x:v>1. Xác minh SHA/role/fixture cô lập.
2. Chọn một bàn BILLING hoặc CLEANING.
3. Đọc lại order/session/ledger/audit và đối chiếu expected; dọn fixture thuộc QA.</x:v>
      </x:c>
      <x:c r="I22" s="10" t="str">
        <x:v>QA fixture cô lập</x:v>
      </x:c>
      <x:c r="J22" s="10" t="str">
        <x:v>Không tạo master session, không chuyển order/ticket; trả lỗi theo contract; HTTP/payload TBD khi route đề xuất.</x:v>
      </x:c>
      <x:c r="K22" s="10"/>
      <x:c r="L22" s="9" t="str">
        <x:v>Not Executed</x:v>
      </x:c>
      <x:c r="M22" s="9"/>
      <x:c r="N22" s="9"/>
      <x:c r="O22" s="10" t="str">
        <x:v>BR-MT-002; BRD Merge edge case</x:v>
      </x:c>
      <x:c r="P22" s="10" t="str">
        <x:v>Có – sau contract &amp; fixture</x:v>
      </x:c>
      <x:c r="Q22" s="10" t="str">
        <x:v>Sprint 4 execution view; P1 QA; Design only; Đề xuất Pha 2. Không suy PASS từ preflight.</x:v>
      </x:c>
      <x:c r="R22" s="10" t="str">
        <x:v>POST /tables/merge</x:v>
      </x:c>
      <x:c r="S22" s="10" t="str">
        <x:v>Chưa có Postman Pha 2</x:v>
      </x:c>
      <x:c r="T22" s="10" t="str">
        <x:v>SRC-BRD; SRC-BOARD; SRC-CATALOG; SRC-OPENAPI (main snapshot); Sprint 4 view: 29/10/2026; runtime inventory 46d6049</x:v>
      </x:c>
      <x:c r="U22" s="10" t="str">
        <x:v>Contract: Đề xuất Pha 2; RFI: P2-RFI-TABLE</x:v>
      </x:c>
    </x:row>
    <x:row r="23" ht="48" customHeight="1">
      <x:c r="A23" s="9" t="str">
        <x:v>P2-TBL-009</x:v>
      </x:c>
      <x:c r="B23" s="10" t="str">
        <x:v>Merge concurrent và double-tap</x:v>
      </x:c>
      <x:c r="C23" s="9" t="str">
        <x:v>Table Management nâng cao</x:v>
      </x:c>
      <x:c r="D23" s="9" t="str">
        <x:v>Critical</x:v>
      </x:c>
      <x:c r="E23" s="9" t="str">
        <x:v>Critical</x:v>
      </x:c>
      <x:c r="F23" s="9" t="str">
        <x:v>Concurrency</x:v>
      </x:c>
      <x:c r="G23" s="10" t="str">
        <x:v>Hai bàn QA riêng trong cùng outlet; session/order/ticket có ID và trạng thái đã chụp trước thao tác.</x:v>
      </x:c>
      <x:c r="H23" s="10" t="str">
        <x:v>1. Xác minh SHA/role/fixture cô lập.
2. Hai waiter gộp cùng bàn đồng thời, sau đó lặp request.
3. Đọc lại order/session/ledger/audit và đối chiếu expected; dọn fixture thuộc QA.</x:v>
      </x:c>
      <x:c r="I23" s="10" t="str">
        <x:v>QA fixture cô lập</x:v>
      </x:c>
      <x:c r="J23" s="10" t="str">
        <x:v>Một kết quả duy nhất; request còn lại báo conflict; audit không nhân đôi; HTTP/payload TBD khi route đề xuất.</x:v>
      </x:c>
      <x:c r="K23" s="10"/>
      <x:c r="L23" s="9" t="str">
        <x:v>Not Executed</x:v>
      </x:c>
      <x:c r="M23" s="9"/>
      <x:c r="N23" s="9"/>
      <x:c r="O23" s="10" t="str">
        <x:v>BR-MT-009/011</x:v>
      </x:c>
      <x:c r="P23" s="10" t="str">
        <x:v>Có – sau contract &amp; fixture</x:v>
      </x:c>
      <x:c r="Q23" s="10" t="str">
        <x:v>Sprint 4 execution view; P0 QA; Design only; Đề xuất Pha 2. Không suy PASS từ preflight.</x:v>
      </x:c>
      <x:c r="R23" s="10" t="str">
        <x:v>POST /tables/merge</x:v>
      </x:c>
      <x:c r="S23" s="10" t="str">
        <x:v>Chưa có Postman Pha 2</x:v>
      </x:c>
      <x:c r="T23" s="10" t="str">
        <x:v>SRC-BRD; SRC-BOARD; SRC-CATALOG; SRC-OPENAPI (main snapshot); Sprint 4 view: 29/10/2026; runtime inventory 46d6049</x:v>
      </x:c>
      <x:c r="U23" s="10" t="str">
        <x:v>Contract: Đề xuất Pha 2; RFI: P2-RFI-TABLE</x:v>
      </x:c>
    </x:row>
    <x:row r="24" ht="48" customHeight="1">
      <x:c r="A24" s="9" t="str">
        <x:v>P2-TBL-010</x:v>
      </x:c>
      <x:c r="B24" s="10" t="str">
        <x:v>Merge giữ QR order và trạng thái CLEANING sau pay</x:v>
      </x:c>
      <x:c r="C24" s="9" t="str">
        <x:v>Table Management nâng cao</x:v>
      </x:c>
      <x:c r="D24" s="9" t="str">
        <x:v>High</x:v>
      </x:c>
      <x:c r="E24" s="9" t="str">
        <x:v>High</x:v>
      </x:c>
      <x:c r="F24" s="9" t="str">
        <x:v>Integration</x:v>
      </x:c>
      <x:c r="G24" s="10" t="str">
        <x:v>Hai bàn QA riêng trong cùng outlet; session/order/ticket có ID và trạng thái đã chụp trước thao tác.</x:v>
      </x:c>
      <x:c r="H24" s="10" t="str">
        <x:v>1. Xác minh SHA/role/fixture cô lập.
2. Gộp bàn có QR order; thanh toán bill hợp nhất.
3. Đọc lại order/session/ledger/audit và đối chiếu expected; dọn fixture thuộc QA.</x:v>
      </x:c>
      <x:c r="I24" s="10" t="str">
        <x:v>QA fixture cô lập</x:v>
      </x:c>
      <x:c r="J24" s="10" t="str">
        <x:v>QR order về master session; tất cả bàn gộp sang CLEANING sau payment; HTTP/payload TBD khi route đề xuất.</x:v>
      </x:c>
      <x:c r="K24" s="10"/>
      <x:c r="L24" s="9" t="str">
        <x:v>Not Executed</x:v>
      </x:c>
      <x:c r="M24" s="9"/>
      <x:c r="N24" s="9"/>
      <x:c r="O24" s="10" t="str">
        <x:v>BR-MT-007/014</x:v>
      </x:c>
      <x:c r="P24" s="10" t="str">
        <x:v>Có – sau contract &amp; fixture</x:v>
      </x:c>
      <x:c r="Q24" s="10" t="str">
        <x:v>Sprint 4 execution view; P1 QA; Design only; Đề xuất Pha 2. Không suy PASS từ preflight.</x:v>
      </x:c>
      <x:c r="R24" s="10" t="str">
        <x:v>POST /tables/merge</x:v>
      </x:c>
      <x:c r="S24" s="10" t="str">
        <x:v>Chưa có Postman Pha 2</x:v>
      </x:c>
      <x:c r="T24" s="10" t="str">
        <x:v>SRC-BRD; SRC-BOARD; SRC-CATALOG; SRC-OPENAPI (main snapshot); Sprint 4 view: 29/10/2026; runtime inventory 46d6049</x:v>
      </x:c>
      <x:c r="U24" s="10" t="str">
        <x:v>Contract: Đề xuất Pha 2; RFI: P2-RFI-TABLE</x:v>
      </x:c>
    </x:row>
    <x:row r="25" ht="48" customHeight="1">
      <x:c r="A25" s="9" t="str">
        <x:v>P2-TBL-011</x:v>
      </x:c>
      <x:c r="B25" s="10" t="str">
        <x:v>Split order/bàn giữ nguyên tổng và lịch sử</x:v>
      </x:c>
      <x:c r="C25" s="9" t="str">
        <x:v>Table Management nâng cao</x:v>
      </x:c>
      <x:c r="D25" s="9" t="str">
        <x:v>Critical</x:v>
      </x:c>
      <x:c r="E25" s="9" t="str">
        <x:v>Critical</x:v>
      </x:c>
      <x:c r="F25" s="9" t="str">
        <x:v>Positive</x:v>
      </x:c>
      <x:c r="G25" s="10" t="str">
        <x:v>Hai bàn QA riêng trong cùng outlet; session/order/ticket có ID và trạng thái đã chụp trước thao tác.</x:v>
      </x:c>
      <x:c r="H25" s="10" t="str">
        <x:v>1. Xác minh SHA/role/fixture cô lập.
2. Tách nhóm item chưa trả sang session/order đích.
3. Đọc lại order/session/ledger/audit và đối chiếu expected; dọn fixture thuộc QA.</x:v>
      </x:c>
      <x:c r="I25" s="10" t="str">
        <x:v>QA fixture cô lập</x:v>
      </x:c>
      <x:c r="J25" s="10" t="str">
        <x:v>Không thất lạc món/ticket, tiền không đổi; audit liên kết nguồn/đích; policy phân biệt split table/bill cần PO chốt; HTTP/payload TBD khi route đề xuất.</x:v>
      </x:c>
      <x:c r="K25" s="10"/>
      <x:c r="L25" s="9" t="str">
        <x:v>Not Executed</x:v>
      </x:c>
      <x:c r="M25" s="9"/>
      <x:c r="N25" s="9"/>
      <x:c r="O25" s="10" t="str">
        <x:v>Board Pha 2 Split; catalog POST /orders/{id}/split</x:v>
      </x:c>
      <x:c r="P25" s="10" t="str">
        <x:v>Có – sau contract &amp; fixture</x:v>
      </x:c>
      <x:c r="Q25" s="10" t="str">
        <x:v>Sprint 4 execution view; P0 QA; Design only; Đề xuất Pha 2. Không suy PASS từ preflight.</x:v>
      </x:c>
      <x:c r="R25" s="10" t="str">
        <x:v>POST /orders/{id}/split</x:v>
      </x:c>
      <x:c r="S25" s="10" t="str">
        <x:v>Chưa có Postman Pha 2</x:v>
      </x:c>
      <x:c r="T25" s="10" t="str">
        <x:v>SRC-BRD; SRC-BOARD; SRC-CATALOG; SRC-OPENAPI (main snapshot); Sprint 4 view: 29/10/2026; runtime inventory 46d6049</x:v>
      </x:c>
      <x:c r="U25" s="10" t="str">
        <x:v>Contract: Đề xuất Pha 2; RFI: P2-RFI-TABLE</x:v>
      </x:c>
    </x:row>
    <x:row r="26" ht="48" customHeight="1">
      <x:c r="A26" s="9" t="str">
        <x:v>P2-TBL-012</x:v>
      </x:c>
      <x:c r="B26" s="10" t="str">
        <x:v>Cross-outlet transfer/merge/split bị từ chối</x:v>
      </x:c>
      <x:c r="C26" s="9" t="str">
        <x:v>Table Management nâng cao</x:v>
      </x:c>
      <x:c r="D26" s="9" t="str">
        <x:v>Critical</x:v>
      </x:c>
      <x:c r="E26" s="9" t="str">
        <x:v>Critical</x:v>
      </x:c>
      <x:c r="F26" s="9" t="str">
        <x:v>Security</x:v>
      </x:c>
      <x:c r="G26" s="10" t="str">
        <x:v>Hai bàn QA riêng trong cùng outlet; session/order/ticket có ID và trạng thái đã chụp trước thao tác.</x:v>
      </x:c>
      <x:c r="H26" s="10" t="str">
        <x:v>1. Xác minh SHA/role/fixture cô lập.
2. Dùng token outlet A với bàn/order outlet B.
3. Đọc lại order/session/ledger/audit và đối chiếu expected; dọn fixture thuộc QA.</x:v>
      </x:c>
      <x:c r="I26" s="10" t="str">
        <x:v>QA fixture cô lập</x:v>
      </x:c>
      <x:c r="J26" s="10" t="str">
        <x:v>Không lộ hoặc sửa dữ liệu outlet B; không có session orphan; HTTP/payload TBD khi route đề xuất.</x:v>
      </x:c>
      <x:c r="K26" s="10"/>
      <x:c r="L26" s="9" t="str">
        <x:v>Not Executed</x:v>
      </x:c>
      <x:c r="M26" s="9"/>
      <x:c r="N26" s="9"/>
      <x:c r="O26" s="10" t="str">
        <x:v>BRD table ownership; Permission Matrix</x:v>
      </x:c>
      <x:c r="P26" s="10" t="str">
        <x:v>Có – sau contract &amp; fixture</x:v>
      </x:c>
      <x:c r="Q26" s="10" t="str">
        <x:v>Sprint 4 execution view; P0 QA; Design only; Đề xuất Pha 2. Không suy PASS từ preflight.</x:v>
      </x:c>
      <x:c r="R26" s="10" t="str">
        <x:v>POST /tables/{id}/transfer; POST /tables/merge; POST /orders/{id}/split</x:v>
      </x:c>
      <x:c r="S26" s="10" t="str">
        <x:v>Chưa có Postman Pha 2</x:v>
      </x:c>
      <x:c r="T26" s="10" t="str">
        <x:v>SRC-BRD; SRC-BOARD; SRC-CATALOG; SRC-OPENAPI (main snapshot); Sprint 4 view: 29/10/2026; runtime inventory 46d6049</x:v>
      </x:c>
      <x:c r="U26" s="10" t="str">
        <x:v>Contract: Đề xuất Pha 2; RFI: P2-RFI-TABLE</x:v>
      </x:c>
    </x:row>
    <x:row r="27" ht="48" customHeight="1">
      <x:c r="A27" s="9" t="str">
        <x:v>P2-USR-001</x:v>
      </x:c>
      <x:c r="B27" s="10" t="str">
        <x:v>Supervisor tạo staff theo role/outlet</x:v>
      </x:c>
      <x:c r="C27" s="9" t="str">
        <x:v>User &amp; Permission</x:v>
      </x:c>
      <x:c r="D27" s="9" t="str">
        <x:v>Critical</x:v>
      </x:c>
      <x:c r="E27" s="9" t="str">
        <x:v>Critical</x:v>
      </x:c>
      <x:c r="F27" s="9" t="str">
        <x:v>Positive</x:v>
      </x:c>
      <x:c r="G27" s="10" t="str">
        <x:v>Tài khoản QA theo từng role/outlet; có đường khôi phục; không dùng tài khoản người thật.</x:v>
      </x:c>
      <x:c r="H27" s="10" t="str">
        <x:v>1. Xác minh SHA/role/fixture cô lập.
2. Tạo QA staff mỗi role với outlet hợp lệ.
3. Đọc lại order/session/ledger/audit và đối chiếu expected; dọn fixture thuộc QA.</x:v>
      </x:c>
      <x:c r="I27" s="10" t="str">
        <x:v>QA fixture cô lập</x:v>
      </x:c>
      <x:c r="J27" s="10" t="str">
        <x:v>Staff mới đăng nhập đúng role/outlet; không lộ credential trong response/log; HTTP/payload TBD khi route đề xuất.</x:v>
      </x:c>
      <x:c r="K27" s="10"/>
      <x:c r="L27" s="9" t="str">
        <x:v>Not Executed</x:v>
      </x:c>
      <x:c r="M27" s="9"/>
      <x:c r="N27" s="9"/>
      <x:c r="O27" s="10" t="str">
        <x:v>BRD User &amp; Permission: Role Management</x:v>
      </x:c>
      <x:c r="P27" s="10" t="str">
        <x:v>Có – sau contract &amp; fixture</x:v>
      </x:c>
      <x:c r="Q27" s="10" t="str">
        <x:v>Sprint 4 execution view; P0 QA; Design only; Đề xuất Pha 2. Không suy PASS từ preflight.</x:v>
      </x:c>
      <x:c r="R27" s="10" t="str">
        <x:v>POST /staff</x:v>
      </x:c>
      <x:c r="S27" s="10" t="str">
        <x:v>Chưa có Postman Pha 2</x:v>
      </x:c>
      <x:c r="T27" s="10" t="str">
        <x:v>SRC-BRD; SRC-BOARD; SRC-CATALOG; SRC-OPENAPI (main snapshot); Sprint 4 view: 29/10/2026; runtime inventory 46d6049</x:v>
      </x:c>
      <x:c r="U27" s="10" t="str">
        <x:v>Contract: Đề xuất Pha 2; RFI: P2-RFI-ROLE</x:v>
      </x:c>
    </x:row>
    <x:row r="28" ht="48" customHeight="1">
      <x:c r="A28" s="9" t="str">
        <x:v>P2-USR-002</x:v>
      </x:c>
      <x:c r="B28" s="10" t="str">
        <x:v>Waiter/Cashier/Kitchen không quản lý staff</x:v>
      </x:c>
      <x:c r="C28" s="9" t="str">
        <x:v>User &amp; Permission</x:v>
      </x:c>
      <x:c r="D28" s="9" t="str">
        <x:v>Critical</x:v>
      </x:c>
      <x:c r="E28" s="9" t="str">
        <x:v>Critical</x:v>
      </x:c>
      <x:c r="F28" s="9" t="str">
        <x:v>RBAC</x:v>
      </x:c>
      <x:c r="G28" s="10" t="str">
        <x:v>Tài khoản QA theo từng role/outlet; có đường khôi phục; không dùng tài khoản người thật.</x:v>
      </x:c>
      <x:c r="H28" s="10" t="str">
        <x:v>1. Xác minh SHA/role/fixture cô lập.
2. Dùng role thấp tạo/sửa/khóa account.
3. Đọc lại order/session/ledger/audit và đối chiếu expected; dọn fixture thuộc QA.</x:v>
      </x:c>
      <x:c r="I28" s="10" t="str">
        <x:v>QA fixture cô lập</x:v>
      </x:c>
      <x:c r="J28" s="10" t="str">
        <x:v>Bị chặn; không có thay đổi staff, audit ghi lần thử theo policy; HTTP/payload TBD khi route đề xuất.</x:v>
      </x:c>
      <x:c r="K28" s="10"/>
      <x:c r="L28" s="9" t="str">
        <x:v>Not Executed</x:v>
      </x:c>
      <x:c r="M28" s="9"/>
      <x:c r="N28" s="9"/>
      <x:c r="O28" s="10" t="str">
        <x:v>BRD User &amp; Permission; catalog Role Management</x:v>
      </x:c>
      <x:c r="P28" s="10" t="str">
        <x:v>Có – sau contract &amp; fixture</x:v>
      </x:c>
      <x:c r="Q28" s="10" t="str">
        <x:v>Sprint 4 execution view; P0 QA; Design only; Đề xuất Pha 2. Không suy PASS từ preflight.</x:v>
      </x:c>
      <x:c r="R28" s="10" t="str">
        <x:v>POST /staff; PATCH /staff/{id}</x:v>
      </x:c>
      <x:c r="S28" s="10" t="str">
        <x:v>Chưa có Postman Pha 2</x:v>
      </x:c>
      <x:c r="T28" s="10" t="str">
        <x:v>SRC-BRD; SRC-BOARD; SRC-CATALOG; SRC-OPENAPI (main snapshot); Sprint 4 view: 29/10/2026; runtime inventory 46d6049</x:v>
      </x:c>
      <x:c r="U28" s="10" t="str">
        <x:v>Contract: Đề xuất Pha 2; RFI: P2-RFI-ROLE</x:v>
      </x:c>
    </x:row>
    <x:row r="29" ht="48" customHeight="1">
      <x:c r="A29" s="9" t="str">
        <x:v>P2-USR-003</x:v>
      </x:c>
      <x:c r="B29" s="10" t="str">
        <x:v>Supervisor đổi role và áp dụng quyền tức thời</x:v>
      </x:c>
      <x:c r="C29" s="9" t="str">
        <x:v>User &amp; Permission</x:v>
      </x:c>
      <x:c r="D29" s="9" t="str">
        <x:v>Critical</x:v>
      </x:c>
      <x:c r="E29" s="9" t="str">
        <x:v>Critical</x:v>
      </x:c>
      <x:c r="F29" s="9" t="str">
        <x:v>Security</x:v>
      </x:c>
      <x:c r="G29" s="10" t="str">
        <x:v>Tài khoản QA theo từng role/outlet; có đường khôi phục; không dùng tài khoản người thật.</x:v>
      </x:c>
      <x:c r="H29" s="10" t="str">
        <x:v>1. Xác minh SHA/role/fixture cô lập.
2. Đổi role QA staff, thử dùng token cũ/mới trên API nhạy cảm.
3. Đọc lại order/session/ledger/audit và đối chiếu expected; dọn fixture thuộc QA.</x:v>
      </x:c>
      <x:c r="I29" s="10" t="str">
        <x:v>QA fixture cô lập</x:v>
      </x:c>
      <x:c r="J29" s="10" t="str">
        <x:v>Quyền cập nhật theo policy đã chốt; token cũ không mở rộng quyền trái phép; HTTP/payload TBD khi route đề xuất.</x:v>
      </x:c>
      <x:c r="K29" s="10"/>
      <x:c r="L29" s="9" t="str">
        <x:v>Not Executed</x:v>
      </x:c>
      <x:c r="M29" s="9"/>
      <x:c r="N29" s="9"/>
      <x:c r="O29" s="10" t="str">
        <x:v>BRD Permission Matrix</x:v>
      </x:c>
      <x:c r="P29" s="10" t="str">
        <x:v>Có – sau contract &amp; fixture</x:v>
      </x:c>
      <x:c r="Q29" s="10" t="str">
        <x:v>Sprint 4 execution view; P0 QA; Design only; Đề xuất Pha 2. Không suy PASS từ preflight.</x:v>
      </x:c>
      <x:c r="R29" s="10" t="str">
        <x:v>PATCH /staff/{id}</x:v>
      </x:c>
      <x:c r="S29" s="10" t="str">
        <x:v>Chưa có Postman Pha 2</x:v>
      </x:c>
      <x:c r="T29" s="10" t="str">
        <x:v>SRC-BRD; SRC-BOARD; SRC-CATALOG; SRC-OPENAPI (main snapshot); Sprint 4 view: 29/10/2026; runtime inventory 46d6049</x:v>
      </x:c>
      <x:c r="U29" s="10" t="str">
        <x:v>Contract: Đề xuất Pha 2; RFI: P2-RFI-ROLE</x:v>
      </x:c>
    </x:row>
    <x:row r="30" ht="48" customHeight="1">
      <x:c r="A30" s="9" t="str">
        <x:v>P2-USR-004</x:v>
      </x:c>
      <x:c r="B30" s="10" t="str">
        <x:v>Khóa và mở khóa staff QA</x:v>
      </x:c>
      <x:c r="C30" s="9" t="str">
        <x:v>User &amp; Permission</x:v>
      </x:c>
      <x:c r="D30" s="9" t="str">
        <x:v>High</x:v>
      </x:c>
      <x:c r="E30" s="9" t="str">
        <x:v>High</x:v>
      </x:c>
      <x:c r="F30" s="9" t="str">
        <x:v>Positive</x:v>
      </x:c>
      <x:c r="G30" s="10" t="str">
        <x:v>Tài khoản QA theo từng role/outlet; có đường khôi phục; không dùng tài khoản người thật.</x:v>
      </x:c>
      <x:c r="H30" s="10" t="str">
        <x:v>1. Xác minh SHA/role/fixture cô lập.
2. Khóa tài khoản, thử login/refresh, rồi mở lại.
3. Đọc lại order/session/ledger/audit và đối chiếu expected; dọn fixture thuộc QA.</x:v>
      </x:c>
      <x:c r="I30" s="10" t="str">
        <x:v>QA fixture cô lập</x:v>
      </x:c>
      <x:c r="J30" s="10" t="str">
        <x:v>Tài khoản khóa không thao tác; sau mở lại hoạt động theo contract, có audit; HTTP/payload TBD khi route đề xuất.</x:v>
      </x:c>
      <x:c r="K30" s="10"/>
      <x:c r="L30" s="9" t="str">
        <x:v>Not Executed</x:v>
      </x:c>
      <x:c r="M30" s="9"/>
      <x:c r="N30" s="9"/>
      <x:c r="O30" s="10" t="str">
        <x:v>BRD Role Management; SEC-02</x:v>
      </x:c>
      <x:c r="P30" s="10" t="str">
        <x:v>Có – sau contract &amp; fixture</x:v>
      </x:c>
      <x:c r="Q30" s="10" t="str">
        <x:v>Sprint 4 execution view; P1 QA; Design only; Đề xuất Pha 2. Không suy PASS từ preflight.</x:v>
      </x:c>
      <x:c r="R30" s="10" t="str">
        <x:v>POST /staff/{id}/lock; /unlock</x:v>
      </x:c>
      <x:c r="S30" s="10" t="str">
        <x:v>Chưa có Postman Pha 2</x:v>
      </x:c>
      <x:c r="T30" s="10" t="str">
        <x:v>SRC-BRD; SRC-BOARD; SRC-CATALOG; SRC-OPENAPI (main snapshot); Sprint 4 view: 29/10/2026; runtime inventory 46d6049</x:v>
      </x:c>
      <x:c r="U30" s="10" t="str">
        <x:v>Contract: Đề xuất Pha 2; RFI: P2-RFI-ROLE</x:v>
      </x:c>
    </x:row>
    <x:row r="31" ht="48" customHeight="1">
      <x:c r="A31" s="9" t="str">
        <x:v>P2-USR-005</x:v>
      </x:c>
      <x:c r="B31" s="10" t="str">
        <x:v>Reset password không lộ secret</x:v>
      </x:c>
      <x:c r="C31" s="9" t="str">
        <x:v>User &amp; Permission</x:v>
      </x:c>
      <x:c r="D31" s="9" t="str">
        <x:v>High</x:v>
      </x:c>
      <x:c r="E31" s="9" t="str">
        <x:v>High</x:v>
      </x:c>
      <x:c r="F31" s="9" t="str">
        <x:v>Security</x:v>
      </x:c>
      <x:c r="G31" s="10" t="str">
        <x:v>Tài khoản QA theo từng role/outlet; có đường khôi phục; không dùng tài khoản người thật.</x:v>
      </x:c>
      <x:c r="H31" s="10" t="str">
        <x:v>1. Xác minh SHA/role/fixture cô lập.
2. Supervisor reset cho account QA và thử token cũ.
3. Đọc lại order/session/ledger/audit và đối chiếu expected; dọn fixture thuộc QA.</x:v>
      </x:c>
      <x:c r="I31" s="10" t="str">
        <x:v>QA fixture cô lập</x:v>
      </x:c>
      <x:c r="J31" s="10" t="str">
        <x:v>Secret không ở response/log; vòng đời token và yêu cầu đổi mật khẩu theo policy; HTTP/payload TBD khi route đề xuất.</x:v>
      </x:c>
      <x:c r="K31" s="10"/>
      <x:c r="L31" s="9" t="str">
        <x:v>Not Executed</x:v>
      </x:c>
      <x:c r="M31" s="9"/>
      <x:c r="N31" s="9"/>
      <x:c r="O31" s="10" t="str">
        <x:v>BRD User &amp; Permission; SEC-02</x:v>
      </x:c>
      <x:c r="P31" s="10" t="str">
        <x:v>Có – sau contract &amp; fixture</x:v>
      </x:c>
      <x:c r="Q31" s="10" t="str">
        <x:v>Sprint 4 execution view; P1 QA; Design only; Đề xuất Pha 2. Không suy PASS từ preflight.</x:v>
      </x:c>
      <x:c r="R31" s="10" t="str">
        <x:v>POST /staff/{id}/reset-password</x:v>
      </x:c>
      <x:c r="S31" s="10" t="str">
        <x:v>Chưa có Postman Pha 2</x:v>
      </x:c>
      <x:c r="T31" s="10" t="str">
        <x:v>SRC-BRD; SRC-BOARD; SRC-CATALOG; SRC-OPENAPI (main snapshot); Sprint 4 view: 29/10/2026; runtime inventory 46d6049</x:v>
      </x:c>
      <x:c r="U31" s="10" t="str">
        <x:v>Contract: Đề xuất Pha 2; RFI: P2-RFI-ROLE</x:v>
      </x:c>
    </x:row>
    <x:row r="32" ht="48" customHeight="1">
      <x:c r="A32" s="9" t="str">
        <x:v>P2-USR-006</x:v>
      </x:c>
      <x:c r="B32" s="10" t="str">
        <x:v>PIN login sai N lần khóa tài khoản</x:v>
      </x:c>
      <x:c r="C32" s="9" t="str">
        <x:v>User &amp; Permission</x:v>
      </x:c>
      <x:c r="D32" s="9" t="str">
        <x:v>Critical</x:v>
      </x:c>
      <x:c r="E32" s="9" t="str">
        <x:v>Critical</x:v>
      </x:c>
      <x:c r="F32" s="9" t="str">
        <x:v>Boundary</x:v>
      </x:c>
      <x:c r="G32" s="10" t="str">
        <x:v>Tài khoản QA theo từng role/outlet; có đường khôi phục; không dùng tài khoản người thật.</x:v>
      </x:c>
      <x:c r="H32" s="10" t="str">
        <x:v>1. Xác minh SHA/role/fixture cô lập.
2. Nhập sai PIN đến ngưỡng N do PO chốt.
3. Đọc lại order/session/ledger/audit và đối chiếu expected; dọn fixture thuộc QA.</x:v>
      </x:c>
      <x:c r="I32" s="10" t="str">
        <x:v>N-1, N, N+1</x:v>
      </x:c>
      <x:c r="J32" s="10" t="str">
        <x:v>Khóa/cooldown theo policy, không lộ tài khoản hợp lệ, có audit; HTTP/payload TBD khi route đề xuất.</x:v>
      </x:c>
      <x:c r="K32" s="10"/>
      <x:c r="L32" s="9" t="str">
        <x:v>Not Executed</x:v>
      </x:c>
      <x:c r="M32" s="9"/>
      <x:c r="N32" s="9"/>
      <x:c r="O32" s="10" t="str">
        <x:v>SEC-02 (BE: chưa chốt PIN/lockout)</x:v>
      </x:c>
      <x:c r="P32" s="10" t="str">
        <x:v>Có – sau contract &amp; fixture</x:v>
      </x:c>
      <x:c r="Q32" s="10" t="str">
        <x:v>Sprint 4 execution view; P0 QA; Design only; Đề xuất Pha 2. Không suy PASS từ preflight.</x:v>
      </x:c>
      <x:c r="R32" s="10" t="str">
        <x:v>POST /auth/pin-login</x:v>
      </x:c>
      <x:c r="S32" s="10" t="str">
        <x:v>Chưa có Postman Pha 2</x:v>
      </x:c>
      <x:c r="T32" s="10" t="str">
        <x:v>SRC-BRD; SRC-BOARD; SRC-CATALOG; SRC-OPENAPI (main snapshot); Sprint 4 view: 29/10/2026; runtime inventory 46d6049</x:v>
      </x:c>
      <x:c r="U32" s="10" t="str">
        <x:v>Contract: Đề xuất Pha 2; RFI: P2-RFI-PIN</x:v>
      </x:c>
    </x:row>
    <x:row r="33" ht="48" customHeight="1">
      <x:c r="A33" s="9" t="str">
        <x:v>P2-USR-007</x:v>
      </x:c>
      <x:c r="B33" s="10" t="str">
        <x:v>Refresh token hết hạn và token bị thu hồi</x:v>
      </x:c>
      <x:c r="C33" s="9" t="str">
        <x:v>User &amp; Permission</x:v>
      </x:c>
      <x:c r="D33" s="9" t="str">
        <x:v>High</x:v>
      </x:c>
      <x:c r="E33" s="9" t="str">
        <x:v>High</x:v>
      </x:c>
      <x:c r="F33" s="9" t="str">
        <x:v>Security</x:v>
      </x:c>
      <x:c r="G33" s="10" t="str">
        <x:v>Tài khoản QA theo từng role/outlet; có đường khôi phục; không dùng tài khoản người thật.</x:v>
      </x:c>
      <x:c r="H33" s="10" t="str">
        <x:v>1. Xác minh SHA/role/fixture cô lập.
2. Refresh token hợp lệ/hết hạn/đã khóa.
3. Đọc lại order/session/ledger/audit và đối chiếu expected; dọn fixture thuộc QA.</x:v>
      </x:c>
      <x:c r="I33" s="10" t="str">
        <x:v>QA fixture cô lập</x:v>
      </x:c>
      <x:c r="J33" s="10" t="str">
        <x:v>Chỉ token hợp lệ được cấp lại; không gia hạn token bị thu hồi; HTTP/payload TBD khi route đề xuất.</x:v>
      </x:c>
      <x:c r="K33" s="10"/>
      <x:c r="L33" s="9" t="str">
        <x:v>Not Executed</x:v>
      </x:c>
      <x:c r="M33" s="9"/>
      <x:c r="N33" s="9"/>
      <x:c r="O33" s="10" t="str">
        <x:v>SEC-02; catalog Pha 2</x:v>
      </x:c>
      <x:c r="P33" s="10" t="str">
        <x:v>Có – sau contract &amp; fixture</x:v>
      </x:c>
      <x:c r="Q33" s="10" t="str">
        <x:v>Sprint 4 execution view; P1 QA; Design only; Đề xuất Pha 2. Không suy PASS từ preflight.</x:v>
      </x:c>
      <x:c r="R33" s="10" t="str">
        <x:v>POST /auth/refresh</x:v>
      </x:c>
      <x:c r="S33" s="10" t="str">
        <x:v>Chưa có Postman Pha 2</x:v>
      </x:c>
      <x:c r="T33" s="10" t="str">
        <x:v>SRC-BRD; SRC-BOARD; SRC-CATALOG; SRC-OPENAPI (main snapshot); Sprint 4 view: 29/10/2026; runtime inventory 46d6049</x:v>
      </x:c>
      <x:c r="U33" s="10" t="str">
        <x:v>Contract: Đề xuất Pha 2; RFI: P2-RFI-ROLE</x:v>
      </x:c>
    </x:row>
    <x:row r="34" ht="48" customHeight="1">
      <x:c r="A34" s="9" t="str">
        <x:v>P2-USR-008</x:v>
      </x:c>
      <x:c r="B34" s="10" t="str">
        <x:v>Bảng quyền POS/KDS/QR theo từng vai trò</x:v>
      </x:c>
      <x:c r="C34" s="9" t="str">
        <x:v>User &amp; Permission</x:v>
      </x:c>
      <x:c r="D34" s="9" t="str">
        <x:v>Critical</x:v>
      </x:c>
      <x:c r="E34" s="9" t="str">
        <x:v>Critical</x:v>
      </x:c>
      <x:c r="F34" s="9" t="str">
        <x:v>RBAC</x:v>
      </x:c>
      <x:c r="G34" s="10" t="str">
        <x:v>Tài khoản QA theo từng role/outlet; có đường khôi phục; không dùng tài khoản người thật.</x:v>
      </x:c>
      <x:c r="H34" s="10" t="str">
        <x:v>1. Xác minh SHA/role/fixture cô lập.
2. Chạy ma trận Cashier/Waiter/Kitchen/Supervisor/Customer theo action.
3. Đọc lại order/session/ledger/audit và đối chiếu expected; dọn fixture thuộc QA.</x:v>
      </x:c>
      <x:c r="I34" s="10" t="str">
        <x:v>QA fixture cô lập</x:v>
      </x:c>
      <x:c r="J34" s="10" t="str">
        <x:v>Mỗi ô quyền có kết quả đúng contract; chênh lệch BRD vs BE được PO chốt trước khi PASS; HTTP/payload TBD khi route đề xuất.</x:v>
      </x:c>
      <x:c r="K34" s="10"/>
      <x:c r="L34" s="9" t="str">
        <x:v>Not Executed</x:v>
      </x:c>
      <x:c r="M34" s="9"/>
      <x:c r="N34" s="9"/>
      <x:c r="O34" s="10" t="str">
        <x:v>BRD Permission Matrix 5 vai trò; current API RBAC</x:v>
      </x:c>
      <x:c r="P34" s="10" t="str">
        <x:v>Có – sau contract &amp; fixture</x:v>
      </x:c>
      <x:c r="Q34" s="10" t="str">
        <x:v>Sprint 4 execution view; P0 QA; Design only; Đề xuất Pha 2. Không suy PASS từ preflight.</x:v>
      </x:c>
      <x:c r="R34" s="10" t="str">
        <x:v>Các write/read endpoints Phase 2</x:v>
      </x:c>
      <x:c r="S34" s="10" t="str">
        <x:v>Chưa có Postman Pha 2</x:v>
      </x:c>
      <x:c r="T34" s="10" t="str">
        <x:v>SRC-BRD; SRC-BOARD; SRC-CATALOG; SRC-OPENAPI (main snapshot); Sprint 4 view: 29/10/2026; runtime inventory 46d6049</x:v>
      </x:c>
      <x:c r="U34" s="10" t="str">
        <x:v>Contract: Đề xuất Pha 2; RFI: P2-RFI-ROLE</x:v>
      </x:c>
    </x:row>
    <x:row r="35" ht="48" customHeight="1">
      <x:c r="A35" s="9" t="str">
        <x:v>P2-USR-009</x:v>
      </x:c>
      <x:c r="B35" s="10" t="str">
        <x:v>Staff outlet A không đọc/sửa staff outlet B</x:v>
      </x:c>
      <x:c r="C35" s="9" t="str">
        <x:v>User &amp; Permission</x:v>
      </x:c>
      <x:c r="D35" s="9" t="str">
        <x:v>Critical</x:v>
      </x:c>
      <x:c r="E35" s="9" t="str">
        <x:v>Critical</x:v>
      </x:c>
      <x:c r="F35" s="9" t="str">
        <x:v>Security</x:v>
      </x:c>
      <x:c r="G35" s="10" t="str">
        <x:v>Tài khoản QA theo từng role/outlet; có đường khôi phục; không dùng tài khoản người thật.</x:v>
      </x:c>
      <x:c r="H35" s="10" t="str">
        <x:v>1. Xác minh SHA/role/fixture cô lập.
2. Dùng token A truy vấn staff B và thay đổi role.
3. Đọc lại order/session/ledger/audit và đối chiếu expected; dọn fixture thuộc QA.</x:v>
      </x:c>
      <x:c r="I35" s="10" t="str">
        <x:v>QA fixture cô lập</x:v>
      </x:c>
      <x:c r="J35" s="10" t="str">
        <x:v>Không lộ dữ liệu hoặc sửa staff B; không dùng 404/403 cố định trước contract; HTTP/payload TBD khi route đề xuất.</x:v>
      </x:c>
      <x:c r="K35" s="10"/>
      <x:c r="L35" s="9" t="str">
        <x:v>Not Executed</x:v>
      </x:c>
      <x:c r="M35" s="9"/>
      <x:c r="N35" s="9"/>
      <x:c r="O35" s="10" t="str">
        <x:v>BRD outlet isolation</x:v>
      </x:c>
      <x:c r="P35" s="10" t="str">
        <x:v>Có – sau contract &amp; fixture</x:v>
      </x:c>
      <x:c r="Q35" s="10" t="str">
        <x:v>Sprint 4 execution view; P0 QA; Design only; Đề xuất Pha 2. Không suy PASS từ preflight.</x:v>
      </x:c>
      <x:c r="R35" s="10" t="str">
        <x:v>GET/PATCH /staff/{id}</x:v>
      </x:c>
      <x:c r="S35" s="10" t="str">
        <x:v>Chưa có Postman Pha 2</x:v>
      </x:c>
      <x:c r="T35" s="10" t="str">
        <x:v>SRC-BRD; SRC-BOARD; SRC-CATALOG; SRC-OPENAPI (main snapshot); Sprint 4 view: 29/10/2026; runtime inventory 46d6049</x:v>
      </x:c>
      <x:c r="U35" s="10" t="str">
        <x:v>Contract: Đề xuất Pha 2; RFI: P2-RFI-ROLE</x:v>
      </x:c>
    </x:row>
    <x:row r="36" ht="48" customHeight="1">
      <x:c r="A36" s="9" t="str">
        <x:v>P2-AUD-001</x:v>
      </x:c>
      <x:c r="B36" s="10" t="str">
        <x:v>Tìm audit theo order/action/time</x:v>
      </x:c>
      <x:c r="C36" s="9" t="str">
        <x:v>Audit Search / Report</x:v>
      </x:c>
      <x:c r="D36" s="9" t="str">
        <x:v>High</x:v>
      </x:c>
      <x:c r="E36" s="9" t="str">
        <x:v>High</x:v>
      </x:c>
      <x:c r="F36" s="9" t="str">
        <x:v>Positive</x:v>
      </x:c>
      <x:c r="G36" s="10" t="str">
        <x:v>Có audit rows QA gắn order/session; Supervisor token; lọc theo đúng outlet.</x:v>
      </x:c>
      <x:c r="H36" s="10" t="str">
        <x:v>1. Xác minh SHA/role/fixture cô lập.
2. Lọc order_id, action, time window trên QA rows.
3. Đọc lại order/session/ledger/audit và đối chiếu expected; dọn fixture thuộc QA.</x:v>
      </x:c>
      <x:c r="I36" s="10" t="str">
        <x:v>QA order with multiple actions</x:v>
      </x:c>
      <x:c r="J36" s="10" t="str">
        <x:v>Chỉ trả bản ghi đúng filter và outlet, actor/time đầy đủ; không sửa audit; HTTP/payload TBD khi route đề xuất.</x:v>
      </x:c>
      <x:c r="K36" s="10"/>
      <x:c r="L36" s="9" t="str">
        <x:v>Not Executed</x:v>
      </x:c>
      <x:c r="M36" s="9"/>
      <x:c r="N36" s="9"/>
      <x:c r="O36" s="10" t="str">
        <x:v>BRD Audit &amp; Logging; catalog A7</x:v>
      </x:c>
      <x:c r="P36" s="10" t="str">
        <x:v>Có – sau contract &amp; fixture</x:v>
      </x:c>
      <x:c r="Q36" s="10" t="str">
        <x:v>Sprint 4 execution view; P1 QA; Design only; Đã có Pha 1. Không suy PASS từ preflight.</x:v>
      </x:c>
      <x:c r="R36" s="10" t="str">
        <x:v>GET /api/v1/audit-logs</x:v>
      </x:c>
      <x:c r="S36" s="10" t="str">
        <x:v>Chưa có Postman Pha 2</x:v>
      </x:c>
      <x:c r="T36" s="10" t="str">
        <x:v>SRC-BRD; SRC-BOARD; SRC-CATALOG; SRC-OPENAPI (main snapshot); Sprint 4 view: 29/10/2026; runtime inventory 46d6049</x:v>
      </x:c>
      <x:c r="U36" s="10" t="str">
        <x:v>Contract: Đã có Pha 1; RFI: P2-RFI-AUD</x:v>
      </x:c>
    </x:row>
    <x:row r="37" ht="48" customHeight="1">
      <x:c r="A37" s="9" t="str">
        <x:v>P2-AUD-002</x:v>
      </x:c>
      <x:c r="B37" s="10" t="str">
        <x:v>Audit search phân trang ổn định</x:v>
      </x:c>
      <x:c r="C37" s="9" t="str">
        <x:v>Audit Search / Report</x:v>
      </x:c>
      <x:c r="D37" s="9" t="str">
        <x:v>High</x:v>
      </x:c>
      <x:c r="E37" s="9" t="str">
        <x:v>High</x:v>
      </x:c>
      <x:c r="F37" s="9" t="str">
        <x:v>Boundary</x:v>
      </x:c>
      <x:c r="G37" s="10" t="str">
        <x:v>Có audit rows QA gắn order/session; Supervisor token; lọc theo đúng outlet.</x:v>
      </x:c>
      <x:c r="H37" s="10" t="str">
        <x:v>1. Xác minh SHA/role/fixture cô lập.
2. Đọc nhiều trang khi có cùng timestamp và filter.
3. Đọc lại order/session/ledger/audit và đối chiếu expected; dọn fixture thuộc QA.</x:v>
      </x:c>
      <x:c r="I37" s="10" t="str">
        <x:v>limit/offset</x:v>
      </x:c>
      <x:c r="J37" s="10" t="str">
        <x:v>Không trùng/lọt row theo sort contract; số lượng và boundaries chính xác; HTTP/payload TBD khi route đề xuất.</x:v>
      </x:c>
      <x:c r="K37" s="10"/>
      <x:c r="L37" s="9" t="str">
        <x:v>Not Executed</x:v>
      </x:c>
      <x:c r="M37" s="9"/>
      <x:c r="N37" s="9"/>
      <x:c r="O37" s="10" t="str">
        <x:v>BRD Audit &amp; Logging; catalog A7</x:v>
      </x:c>
      <x:c r="P37" s="10" t="str">
        <x:v>Có – sau contract &amp; fixture</x:v>
      </x:c>
      <x:c r="Q37" s="10" t="str">
        <x:v>Sprint 4 execution view; P1 QA; Design only; Đã có Pha 1. Không suy PASS từ preflight.</x:v>
      </x:c>
      <x:c r="R37" s="10" t="str">
        <x:v>GET /api/v1/audit-logs?limit=&amp;offset=</x:v>
      </x:c>
      <x:c r="S37" s="10" t="str">
        <x:v>Chưa có Postman Pha 2</x:v>
      </x:c>
      <x:c r="T37" s="10" t="str">
        <x:v>SRC-BRD; SRC-BOARD; SRC-CATALOG; SRC-OPENAPI (main snapshot); Sprint 4 view: 29/10/2026; runtime inventory 46d6049</x:v>
      </x:c>
      <x:c r="U37" s="10" t="str">
        <x:v>Contract: Đã có Pha 1; RFI: P2-RFI-AUD</x:v>
      </x:c>
    </x:row>
    <x:row r="38" ht="48" customHeight="1">
      <x:c r="A38" s="9" t="str">
        <x:v>P2-AUD-003</x:v>
      </x:c>
      <x:c r="B38" s="10" t="str">
        <x:v>Role thấp không đọc audit</x:v>
      </x:c>
      <x:c r="C38" s="9" t="str">
        <x:v>Audit Search / Report</x:v>
      </x:c>
      <x:c r="D38" s="9" t="str">
        <x:v>Critical</x:v>
      </x:c>
      <x:c r="E38" s="9" t="str">
        <x:v>Critical</x:v>
      </x:c>
      <x:c r="F38" s="9" t="str">
        <x:v>RBAC</x:v>
      </x:c>
      <x:c r="G38" s="10" t="str">
        <x:v>Có audit rows QA gắn order/session; Supervisor token; lọc theo đúng outlet.</x:v>
      </x:c>
      <x:c r="H38" s="10" t="str">
        <x:v>1. Xác minh SHA/role/fixture cô lập.
2. Gọi bằng Cashier/Waiter/Kitchen và Supervisor.
3. Đọc lại order/session/ledger/audit và đối chiếu expected; dọn fixture thuộc QA.</x:v>
      </x:c>
      <x:c r="I38" s="10" t="str">
        <x:v>4 roles</x:v>
      </x:c>
      <x:c r="J38" s="10" t="str">
        <x:v>Role thấp bị chặn; Supervisor đọc đúng outlet; không lộ PII; HTTP/payload TBD khi route đề xuất.</x:v>
      </x:c>
      <x:c r="K38" s="10"/>
      <x:c r="L38" s="9" t="str">
        <x:v>Not Executed</x:v>
      </x:c>
      <x:c r="M38" s="9"/>
      <x:c r="N38" s="9"/>
      <x:c r="O38" s="10" t="str">
        <x:v>BRD Permission Matrix; catalog A7 Supervisor</x:v>
      </x:c>
      <x:c r="P38" s="10" t="str">
        <x:v>Có – sau contract &amp; fixture</x:v>
      </x:c>
      <x:c r="Q38" s="10" t="str">
        <x:v>Sprint 4 execution view; P0 QA; Design only; Đã có Pha 1. Không suy PASS từ preflight.</x:v>
      </x:c>
      <x:c r="R38" s="10" t="str">
        <x:v>GET /api/v1/audit-logs</x:v>
      </x:c>
      <x:c r="S38" s="10" t="str">
        <x:v>Chưa có Postman Pha 2</x:v>
      </x:c>
      <x:c r="T38" s="10" t="str">
        <x:v>SRC-BRD; SRC-BOARD; SRC-CATALOG; SRC-OPENAPI (main snapshot); Sprint 4 view: 29/10/2026; runtime inventory 46d6049</x:v>
      </x:c>
      <x:c r="U38" s="10" t="str">
        <x:v>Contract: Đã có Pha 1; RFI: P2-RFI-AUD</x:v>
      </x:c>
    </x:row>
    <x:row r="39" ht="48" customHeight="1">
      <x:c r="A39" s="9" t="str">
        <x:v>P2-AUD-004</x:v>
      </x:c>
      <x:c r="B39" s="10" t="str">
        <x:v>Xuất báo cáo audit khớp filter màn tra cứu</x:v>
      </x:c>
      <x:c r="C39" s="9" t="str">
        <x:v>Audit Search / Report</x:v>
      </x:c>
      <x:c r="D39" s="9" t="str">
        <x:v>High</x:v>
      </x:c>
      <x:c r="E39" s="9" t="str">
        <x:v>High</x:v>
      </x:c>
      <x:c r="F39" s="9" t="str">
        <x:v>Integration</x:v>
      </x:c>
      <x:c r="G39" s="10" t="str">
        <x:v>Có audit rows QA gắn order/session; Supervisor token; lọc theo đúng outlet.</x:v>
      </x:c>
      <x:c r="H39" s="10" t="str">
        <x:v>1. Xác minh SHA/role/fixture cô lập.
2. Xuất theo date/action/outlet; đối chiếu sample với GET.
3. Đọc lại order/session/ledger/audit và đối chiếu expected; dọn fixture thuộc QA.</x:v>
      </x:c>
      <x:c r="I39" s="10" t="str">
        <x:v>QA fixture cô lập</x:v>
      </x:c>
      <x:c r="J39" s="10" t="str">
        <x:v>Số dòng, filter, actor/time khớp nguồn; file không có secret, cơ chế download theo contract; HTTP/payload TBD khi route đề xuất.</x:v>
      </x:c>
      <x:c r="K39" s="10"/>
      <x:c r="L39" s="9" t="str">
        <x:v>Not Executed</x:v>
      </x:c>
      <x:c r="M39" s="9"/>
      <x:c r="N39" s="9"/>
      <x:c r="O39" s="10" t="str">
        <x:v>Board Pha 2 Audit Search/Report</x:v>
      </x:c>
      <x:c r="P39" s="10" t="str">
        <x:v>Có – sau contract &amp; fixture</x:v>
      </x:c>
      <x:c r="Q39" s="10" t="str">
        <x:v>Sprint 4 execution view; P1 QA; Design only; Đề xuất Pha 2. Không suy PASS từ preflight.</x:v>
      </x:c>
      <x:c r="R39" s="10" t="str">
        <x:v>GET /audit-logs/export [TBD]</x:v>
      </x:c>
      <x:c r="S39" s="10" t="str">
        <x:v>Chưa có Postman Pha 2</x:v>
      </x:c>
      <x:c r="T39" s="10" t="str">
        <x:v>SRC-BRD; SRC-BOARD; SRC-CATALOG; SRC-OPENAPI (main snapshot); Sprint 4 view: 29/10/2026; runtime inventory 46d6049</x:v>
      </x:c>
      <x:c r="U39" s="10" t="str">
        <x:v>Contract: Đề xuất Pha 2; RFI: P2-RFI-AUD</x:v>
      </x:c>
    </x:row>
    <x:row r="40" ht="48" customHeight="1">
      <x:c r="A40" s="9" t="str">
        <x:v>P2-AUD-005</x:v>
      </x:c>
      <x:c r="B40" s="10" t="str">
        <x:v>Audit cho payment/table/reward không thể sửa</x:v>
      </x:c>
      <x:c r="C40" s="9" t="str">
        <x:v>Audit Search / Report</x:v>
      </x:c>
      <x:c r="D40" s="9" t="str">
        <x:v>Critical</x:v>
      </x:c>
      <x:c r="E40" s="9" t="str">
        <x:v>Critical</x:v>
      </x:c>
      <x:c r="F40" s="9" t="str">
        <x:v>Integrity</x:v>
      </x:c>
      <x:c r="G40" s="10" t="str">
        <x:v>Có audit rows QA gắn order/session; Supervisor token; lọc theo đúng outlet.</x:v>
      </x:c>
      <x:c r="H40" s="10" t="str">
        <x:v>1. Xác minh SHA/role/fixture cô lập.
2. Tạo QA payment/table/reward action rồi tìm audit.
3. Đọc lại order/session/ledger/audit và đối chiếu expected; dọn fixture thuộc QA.</x:v>
      </x:c>
      <x:c r="I40" s="10" t="str">
        <x:v>QA fixture cô lập</x:v>
      </x:c>
      <x:c r="J40" s="10" t="str">
        <x:v>Mỗi action có actor/time/entity; user không thể sửa/xóa audit; lỗi hệ thống vẫn truy vết; HTTP/payload TBD khi route đề xuất.</x:v>
      </x:c>
      <x:c r="K40" s="10"/>
      <x:c r="L40" s="9" t="str">
        <x:v>Not Executed</x:v>
      </x:c>
      <x:c r="M40" s="9"/>
      <x:c r="N40" s="9"/>
      <x:c r="O40" s="10" t="str">
        <x:v>BRD Logging Rules immutable</x:v>
      </x:c>
      <x:c r="P40" s="10" t="str">
        <x:v>Có – sau contract &amp; fixture</x:v>
      </x:c>
      <x:c r="Q40" s="10" t="str">
        <x:v>Sprint 4 execution view; P0 QA; Design only; Đề xuất Pha 2. Không suy PASS từ preflight.</x:v>
      </x:c>
      <x:c r="R40" s="10" t="str">
        <x:v>GET /api/v1/audit-logs; write actions</x:v>
      </x:c>
      <x:c r="S40" s="10" t="str">
        <x:v>Chưa có Postman Pha 2</x:v>
      </x:c>
      <x:c r="T40" s="10" t="str">
        <x:v>SRC-BRD; SRC-BOARD; SRC-CATALOG; SRC-OPENAPI (main snapshot); Sprint 4 view: 29/10/2026; runtime inventory 46d6049</x:v>
      </x:c>
      <x:c r="U40" s="10" t="str">
        <x:v>Contract: Đề xuất Pha 2; RFI: P2-RFI-AUD</x:v>
      </x:c>
    </x:row>
    <x:row r="41" ht="48" customHeight="1">
      <x:c r="A41" s="9" t="str">
        <x:v>P2-MON-001</x:v>
      </x:c>
      <x:c r="B41" s="10" t="str">
        <x:v>Sentry nhận lỗi staging QA có context an toàn</x:v>
      </x:c>
      <x:c r="C41" s="9" t="str">
        <x:v>System Control &amp; Monitoring</x:v>
      </x:c>
      <x:c r="D41" s="9" t="str">
        <x:v>High</x:v>
      </x:c>
      <x:c r="E41" s="9" t="str">
        <x:v>High</x:v>
      </x:c>
      <x:c r="F41" s="9" t="str">
        <x:v>Observability</x:v>
      </x:c>
      <x:c r="G41" s="10" t="str">
        <x:v>Staging có giám sát cô lập, quan sát log/trace không chứa secret.</x:v>
      </x:c>
      <x:c r="H41" s="10" t="str">
        <x:v>1. Xác minh SHA/role/fixture cô lập.
2. Gây lỗi QA có correlation ID không chứa dữ liệu thật.
3. Đọc lại order/session/ledger/audit và đối chiếu expected; dọn fixture thuộc QA.</x:v>
      </x:c>
      <x:c r="I41" s="10" t="str">
        <x:v>QA fixture cô lập</x:v>
      </x:c>
      <x:c r="J41" s="10" t="str">
        <x:v>Sự kiện xuất hiện một lần, có môi trường/build/route; không có token/PIN/PII; HTTP/payload TBD khi route đề xuất.</x:v>
      </x:c>
      <x:c r="K41" s="10"/>
      <x:c r="L41" s="9" t="str">
        <x:v>Not Executed</x:v>
      </x:c>
      <x:c r="M41" s="9"/>
      <x:c r="N41" s="9"/>
      <x:c r="O41" s="10" t="str">
        <x:v>Board Pha 2 System Control &amp; Monitoring</x:v>
      </x:c>
      <x:c r="P41" s="10" t="str">
        <x:v>Có – sau contract &amp; fixture</x:v>
      </x:c>
      <x:c r="Q41" s="10" t="str">
        <x:v>Sprint 4 execution view; P1 QA; Design only; Đề xuất Pha 2. Không suy PASS từ preflight.</x:v>
      </x:c>
      <x:c r="R41" s="10" t="str">
        <x:v>Sentry staging integration</x:v>
      </x:c>
      <x:c r="S41" s="10" t="str">
        <x:v>Chưa có Postman Pha 2</x:v>
      </x:c>
      <x:c r="T41" s="10" t="str">
        <x:v>SRC-BRD; SRC-BOARD; SRC-CATALOG; SRC-OPENAPI (main snapshot); Sprint 4 view: 29/10/2026; runtime inventory 46d6049</x:v>
      </x:c>
      <x:c r="U41" s="10" t="str">
        <x:v>Contract: Đề xuất Pha 2; RFI: P2-RFI-MON</x:v>
      </x:c>
    </x:row>
    <x:row r="42" ht="48" customHeight="1">
      <x:c r="A42" s="9" t="str">
        <x:v>P2-MON-002</x:v>
      </x:c>
      <x:c r="B42" s="10" t="str">
        <x:v>Không ghi secret trong log/error</x:v>
      </x:c>
      <x:c r="C42" s="9" t="str">
        <x:v>System Control &amp; Monitoring</x:v>
      </x:c>
      <x:c r="D42" s="9" t="str">
        <x:v>Critical</x:v>
      </x:c>
      <x:c r="E42" s="9" t="str">
        <x:v>Critical</x:v>
      </x:c>
      <x:c r="F42" s="9" t="str">
        <x:v>Security</x:v>
      </x:c>
      <x:c r="G42" s="10" t="str">
        <x:v>Staging có giám sát cô lập, quan sát log/trace không chứa secret.</x:v>
      </x:c>
      <x:c r="H42" s="10" t="str">
        <x:v>1. Xác minh SHA/role/fixture cô lập.
2. Gửi token/PIN/test card; kiểm log, audit, Sentry.
3. Đọc lại order/session/ledger/audit và đối chiếu expected; dọn fixture thuộc QA.</x:v>
      </x:c>
      <x:c r="I42" s="10" t="str">
        <x:v>QA fixture cô lập</x:v>
      </x:c>
      <x:c r="J42" s="10" t="str">
        <x:v>Không lộ credential, full phone, payment secret; mask theo policy; HTTP/payload TBD khi route đề xuất.</x:v>
      </x:c>
      <x:c r="K42" s="10"/>
      <x:c r="L42" s="9" t="str">
        <x:v>Not Executed</x:v>
      </x:c>
      <x:c r="M42" s="9"/>
      <x:c r="N42" s="9"/>
      <x:c r="O42" s="10" t="str">
        <x:v>BRD Data Protection; Logging Rules</x:v>
      </x:c>
      <x:c r="P42" s="10" t="str">
        <x:v>Có – sau contract &amp; fixture</x:v>
      </x:c>
      <x:c r="Q42" s="10" t="str">
        <x:v>Sprint 4 execution view; P0 QA; Design only; Đề xuất Pha 2. Không suy PASS từ preflight.</x:v>
      </x:c>
      <x:c r="R42" s="10" t="str">
        <x:v>Auth, QR, payment and rewards errors</x:v>
      </x:c>
      <x:c r="S42" s="10" t="str">
        <x:v>Chưa có Postman Pha 2</x:v>
      </x:c>
      <x:c r="T42" s="10" t="str">
        <x:v>SRC-BRD; SRC-BOARD; SRC-CATALOG; SRC-OPENAPI (main snapshot); Sprint 4 view: 29/10/2026; runtime inventory 46d6049</x:v>
      </x:c>
      <x:c r="U42" s="10" t="str">
        <x:v>Contract: Đề xuất Pha 2; RFI: P2-RFI-MON</x:v>
      </x:c>
    </x:row>
    <x:row r="43" ht="48" customHeight="1">
      <x:c r="A43" s="9" t="str">
        <x:v>P2-MON-003</x:v>
      </x:c>
      <x:c r="B43" s="10" t="str">
        <x:v>Lỗi gateway báo trạng thái có thể retry</x:v>
      </x:c>
      <x:c r="C43" s="9" t="str">
        <x:v>System Control &amp; Monitoring</x:v>
      </x:c>
      <x:c r="D43" s="9" t="str">
        <x:v>High</x:v>
      </x:c>
      <x:c r="E43" s="9" t="str">
        <x:v>High</x:v>
      </x:c>
      <x:c r="F43" s="9" t="str">
        <x:v>Resilience</x:v>
      </x:c>
      <x:c r="G43" s="10" t="str">
        <x:v>Staging có giám sát cô lập, quan sát log/trace không chứa secret.</x:v>
      </x:c>
      <x:c r="H43" s="10" t="str">
        <x:v>1. Xác minh SHA/role/fixture cô lập.
2. Giả lập timeout 3s và request retry.
3. Đọc lại order/session/ledger/audit và đối chiếu expected; dọn fixture thuộc QA.</x:v>
      </x:c>
      <x:c r="I43" s="10" t="str">
        <x:v>QA fixture cô lập</x:v>
      </x:c>
      <x:c r="J43" s="10" t="str">
        <x:v>Người dùng thấy trạng thái có thể xử lý; không đánh PAID sai; log có correlation ID; HTTP/payload TBD khi route đề xuất.</x:v>
      </x:c>
      <x:c r="K43" s="10"/>
      <x:c r="L43" s="9" t="str">
        <x:v>Not Executed</x:v>
      </x:c>
      <x:c r="M43" s="9"/>
      <x:c r="N43" s="9"/>
      <x:c r="O43" s="10" t="str">
        <x:v>BRD fail gracefully; Payment failure</x:v>
      </x:c>
      <x:c r="P43" s="10" t="str">
        <x:v>Có – sau contract &amp; fixture</x:v>
      </x:c>
      <x:c r="Q43" s="10" t="str">
        <x:v>Sprint 4 execution view; P1 QA; Design only; Đề xuất Pha 2. Không suy PASS từ preflight.</x:v>
      </x:c>
      <x:c r="R43" s="10" t="str">
        <x:v>Payment gateway sandbox</x:v>
      </x:c>
      <x:c r="S43" s="10" t="str">
        <x:v>Chưa có Postman Pha 2</x:v>
      </x:c>
      <x:c r="T43" s="10" t="str">
        <x:v>SRC-BRD; SRC-BOARD; SRC-CATALOG; SRC-OPENAPI (main snapshot); Sprint 4 view: 29/10/2026; runtime inventory 46d6049</x:v>
      </x:c>
      <x:c r="U43" s="10" t="str">
        <x:v>Contract: Đề xuất Pha 2; RFI: P2-RFI-MON</x:v>
      </x:c>
    </x:row>
    <x:row r="44" ht="48" customHeight="1">
      <x:c r="A44" s="9" t="str">
        <x:v>P2-MON-004</x:v>
      </x:c>
      <x:c r="B44" s="10" t="str">
        <x:v>SLA giám sát và delay escalation</x:v>
      </x:c>
      <x:c r="C44" s="9" t="str">
        <x:v>System Control &amp; Monitoring</x:v>
      </x:c>
      <x:c r="D44" s="9" t="str">
        <x:v>High</x:v>
      </x:c>
      <x:c r="E44" s="9" t="str">
        <x:v>High</x:v>
      </x:c>
      <x:c r="F44" s="9" t="str">
        <x:v>Integration</x:v>
      </x:c>
      <x:c r="G44" s="10" t="str">
        <x:v>Staging có giám sát cô lập, quan sát log/trace không chứa secret.</x:v>
      </x:c>
      <x:c r="H44" s="10" t="str">
        <x:v>1. Xác minh SHA/role/fixture cô lập.
2. Tạo QA ticket đi qua ngưỡng SLA và đọc alert.
3. Đọc lại order/session/ledger/audit và đối chiếu expected; dọn fixture thuộc QA.</x:v>
      </x:c>
      <x:c r="I44" s="10" t="str">
        <x:v>QA fixture cô lập</x:v>
      </x:c>
      <x:c r="J44" s="10" t="str">
        <x:v>Alert đúng policy, không gửi lặp; threshold/owner được PO chốt; HTTP/payload TBD khi route đề xuất.</x:v>
      </x:c>
      <x:c r="K44" s="10"/>
      <x:c r="L44" s="9" t="str">
        <x:v>Not Executed</x:v>
      </x:c>
      <x:c r="M44" s="9"/>
      <x:c r="N44" s="9"/>
      <x:c r="O44" s="10" t="str">
        <x:v>BRD System Control &amp; Monitoring</x:v>
      </x:c>
      <x:c r="P44" s="10" t="str">
        <x:v>Có – sau contract &amp; fixture</x:v>
      </x:c>
      <x:c r="Q44" s="10" t="str">
        <x:v>Sprint 4 execution view; P1 QA; Design only; Đề xuất Pha 2. Không suy PASS từ preflight.</x:v>
      </x:c>
      <x:c r="R44" s="10" t="str">
        <x:v>Sentry/monitoring &amp; kitchen queue</x:v>
      </x:c>
      <x:c r="S44" s="10" t="str">
        <x:v>Chưa có Postman Pha 2</x:v>
      </x:c>
      <x:c r="T44" s="10" t="str">
        <x:v>SRC-BRD; SRC-BOARD; SRC-CATALOG; SRC-OPENAPI (main snapshot); Sprint 4 view: 29/10/2026; runtime inventory 46d6049</x:v>
      </x:c>
      <x:c r="U44" s="10" t="str">
        <x:v>Contract: Đề xuất Pha 2; RFI: P2-RFI-MON</x:v>
      </x:c>
    </x:row>
    <x:row r="45" ht="48" customHeight="1">
      <x:c r="A45" s="9" t="str">
        <x:v>P2-MON-005</x:v>
      </x:c>
      <x:c r="B45" s="10" t="str">
        <x:v>RBAC regression API nhạy cảm sau thay role</x:v>
      </x:c>
      <x:c r="C45" s="9" t="str">
        <x:v>System Control &amp; Monitoring</x:v>
      </x:c>
      <x:c r="D45" s="9" t="str">
        <x:v>Critical</x:v>
      </x:c>
      <x:c r="E45" s="9" t="str">
        <x:v>Critical</x:v>
      </x:c>
      <x:c r="F45" s="9" t="str">
        <x:v>Security</x:v>
      </x:c>
      <x:c r="G45" s="10" t="str">
        <x:v>Staging có giám sát cô lập, quan sát log/trace không chứa secret.</x:v>
      </x:c>
      <x:c r="H45" s="10" t="str">
        <x:v>1. Xác minh SHA/role/fixture cô lập.
2. Chạy ma trận quyền với role mới và token cũ.
3. Đọc lại order/session/ledger/audit và đối chiếu expected; dọn fixture thuộc QA.</x:v>
      </x:c>
      <x:c r="I45" s="10" t="str">
        <x:v>QA fixture cô lập</x:v>
      </x:c>
      <x:c r="J45" s="10" t="str">
        <x:v>Không có privilege escalation; deny không đổi state; audit đủ; HTTP/payload TBD khi route đề xuất.</x:v>
      </x:c>
      <x:c r="K45" s="10"/>
      <x:c r="L45" s="9" t="str">
        <x:v>Not Executed</x:v>
      </x:c>
      <x:c r="M45" s="9"/>
      <x:c r="N45" s="9"/>
      <x:c r="O45" s="10" t="str">
        <x:v>Board Pha 2 Hardening; BRD Permission Matrix</x:v>
      </x:c>
      <x:c r="P45" s="10" t="str">
        <x:v>Có – sau contract &amp; fixture</x:v>
      </x:c>
      <x:c r="Q45" s="10" t="str">
        <x:v>Sprint 4 execution view; P0 QA; Design only; Đề xuất Pha 2. Không suy PASS từ preflight.</x:v>
      </x:c>
      <x:c r="R45" s="10" t="str">
        <x:v>Payment/Table/Staff/Rewards writes</x:v>
      </x:c>
      <x:c r="S45" s="10" t="str">
        <x:v>Chưa có Postman Pha 2</x:v>
      </x:c>
      <x:c r="T45" s="10" t="str">
        <x:v>SRC-BRD; SRC-BOARD; SRC-CATALOG; SRC-OPENAPI (main snapshot); Sprint 4 view: 29/10/2026; runtime inventory 46d6049</x:v>
      </x:c>
      <x:c r="U45" s="10" t="str">
        <x:v>Contract: Đề xuất Pha 2; RFI: P2-RFI-ROLE</x:v>
      </x:c>
    </x:row>
    <x:row r="46" ht="48" customHeight="1">
      <x:c r="A46" s="9" t="str">
        <x:v>P2-ORD-001</x:v>
      </x:c>
      <x:c r="B46" s="10" t="str">
        <x:v>Stale expected_version bị 409 với current_version</x:v>
      </x:c>
      <x:c r="C46" s="9" t="str">
        <x:v>Order Control Pha 2</x:v>
      </x:c>
      <x:c r="D46" s="9" t="str">
        <x:v>Critical</x:v>
      </x:c>
      <x:c r="E46" s="9" t="str">
        <x:v>Critical</x:v>
      </x:c>
      <x:c r="F46" s="9" t="str">
        <x:v>Concurrency</x:v>
      </x:c>
      <x:c r="G46" s="10" t="str">
        <x:v>Order QA cô lập; trạng thái/version và quyền Supervisor được xác minh trước thao tác.</x:v>
      </x:c>
      <x:c r="H46" s="10" t="str">
        <x:v>1. Xác minh SHA/role/fixture cô lập.
2. Hai client cùng version; một ghi trước, một gửi stale.
3. Đọc lại order/session/ledger/audit và đối chiếu expected; dọn fixture thuộc QA.</x:v>
      </x:c>
      <x:c r="I46" s="10" t="str">
        <x:v>QA fixture cô lập</x:v>
      </x:c>
      <x:c r="J46" s="10" t="str">
        <x:v>Request stale không ghi đè; phản hồi current_version theo contract; snapshot/audit đúng; HTTP/payload TBD khi route đề xuất.</x:v>
      </x:c>
      <x:c r="K46" s="10"/>
      <x:c r="L46" s="9" t="str">
        <x:v>Not Executed</x:v>
      </x:c>
      <x:c r="M46" s="9"/>
      <x:c r="N46" s="9"/>
      <x:c r="O46" s="10" t="str">
        <x:v>S2-RFI-02; BE 22/10 Pha 2</x:v>
      </x:c>
      <x:c r="P46" s="10" t="str">
        <x:v>Có – sau contract &amp; fixture</x:v>
      </x:c>
      <x:c r="Q46" s="10" t="str">
        <x:v>Sprint 4 execution view; P0 QA; Design only; Đề xuất Pha 2. Không suy PASS từ preflight.</x:v>
      </x:c>
      <x:c r="R46" s="10" t="str">
        <x:v>Order write + expected_version [TBD]</x:v>
      </x:c>
      <x:c r="S46" s="10" t="str">
        <x:v>Chưa có Postman Pha 2</x:v>
      </x:c>
      <x:c r="T46" s="10" t="str">
        <x:v>SRC-BRD; SRC-BOARD; SRC-CATALOG; SRC-OPENAPI (main snapshot); Sprint 4 view: 29/10/2026; runtime inventory 46d6049</x:v>
      </x:c>
      <x:c r="U46" s="10" t="str">
        <x:v>Contract: Đề xuất Pha 2; RFI: P2-RFI-VER</x:v>
      </x:c>
    </x:row>
    <x:row r="47" ht="48" customHeight="1">
      <x:c r="A47" s="9" t="str">
        <x:v>P2-ORD-002</x:v>
      </x:c>
      <x:c r="B47" s="10" t="str">
        <x:v>Replay cùng key và version không tạo lần ghi mới</x:v>
      </x:c>
      <x:c r="C47" s="9" t="str">
        <x:v>Order Control Pha 2</x:v>
      </x:c>
      <x:c r="D47" s="9" t="str">
        <x:v>High</x:v>
      </x:c>
      <x:c r="E47" s="9" t="str">
        <x:v>High</x:v>
      </x:c>
      <x:c r="F47" s="9" t="str">
        <x:v>Idempotency</x:v>
      </x:c>
      <x:c r="G47" s="10" t="str">
        <x:v>Order QA cô lập; trạng thái/version và quyền Supervisor được xác minh trước thao tác.</x:v>
      </x:c>
      <x:c r="H47" s="10" t="str">
        <x:v>1. Xác minh SHA/role/fixture cô lập.
2. Gửi lại cùng key/body sau thành công.
3. Đọc lại order/session/ledger/audit và đối chiếu expected; dọn fixture thuộc QA.</x:v>
      </x:c>
      <x:c r="I47" s="10" t="str">
        <x:v>QA fixture cô lập</x:v>
      </x:c>
      <x:c r="J47" s="10" t="str">
        <x:v>Replay cùng result; không tăng version/ticket/audit business lần hai; HTTP/payload TBD khi route đề xuất.</x:v>
      </x:c>
      <x:c r="K47" s="10"/>
      <x:c r="L47" s="9" t="str">
        <x:v>Not Executed</x:v>
      </x:c>
      <x:c r="M47" s="9"/>
      <x:c r="N47" s="9"/>
      <x:c r="O47" s="10" t="str">
        <x:v>S2-RFI-02; Idempotency-Key</x:v>
      </x:c>
      <x:c r="P47" s="10" t="str">
        <x:v>Có – sau contract &amp; fixture</x:v>
      </x:c>
      <x:c r="Q47" s="10" t="str">
        <x:v>Sprint 4 execution view; P1 QA; Design only; Đề xuất Pha 2. Không suy PASS từ preflight.</x:v>
      </x:c>
      <x:c r="R47" s="10" t="str">
        <x:v>Order write + expected_version [TBD]</x:v>
      </x:c>
      <x:c r="S47" s="10" t="str">
        <x:v>Chưa có Postman Pha 2</x:v>
      </x:c>
      <x:c r="T47" s="10" t="str">
        <x:v>SRC-BRD; SRC-BOARD; SRC-CATALOG; SRC-OPENAPI (main snapshot); Sprint 4 view: 29/10/2026; runtime inventory 46d6049</x:v>
      </x:c>
      <x:c r="U47" s="10" t="str">
        <x:v>Contract: Đề xuất Pha 2; RFI: P2-RFI-VER</x:v>
      </x:c>
    </x:row>
    <x:row r="48" ht="48" customHeight="1">
      <x:c r="A48" s="9" t="str">
        <x:v>P2-ORD-003</x:v>
      </x:c>
      <x:c r="B48" s="10" t="str">
        <x:v>Void món đang nấu yêu cầu PIN Supervisor</x:v>
      </x:c>
      <x:c r="C48" s="9" t="str">
        <x:v>Order Control Pha 2</x:v>
      </x:c>
      <x:c r="D48" s="9" t="str">
        <x:v>Critical</x:v>
      </x:c>
      <x:c r="E48" s="9" t="str">
        <x:v>Critical</x:v>
      </x:c>
      <x:c r="F48" s="9" t="str">
        <x:v>Security</x:v>
      </x:c>
      <x:c r="G48" s="10" t="str">
        <x:v>Order QA cô lập; trạng thái/version và quyền Supervisor được xác minh trước thao tác.</x:v>
      </x:c>
      <x:c r="H48" s="10" t="str">
        <x:v>1. Xác minh SHA/role/fixture cô lập.
2. Thử PIN đúng/sai/thiếu bằng Supervisor, cùng reason.
3. Đọc lại order/session/ledger/audit và đối chiếu expected; dọn fixture thuộc QA.</x:v>
      </x:c>
      <x:c r="I48" s="10" t="str">
        <x:v>QA fixture cô lập</x:v>
      </x:c>
      <x:c r="J48" s="10" t="str">
        <x:v>Chỉ PIN hợp lệ mới VOID/CANCELLED; ghi audit, policy lockout chờ PO/BE; HTTP/payload TBD khi route đề xuất.</x:v>
      </x:c>
      <x:c r="K48" s="10"/>
      <x:c r="L48" s="9" t="str">
        <x:v>Not Executed</x:v>
      </x:c>
      <x:c r="M48" s="9"/>
      <x:c r="N48" s="9"/>
      <x:c r="O48" s="10" t="str">
        <x:v>S2-RFI-09; SEC-02 Pha 2</x:v>
      </x:c>
      <x:c r="P48" s="10" t="str">
        <x:v>Có – sau contract &amp; fixture</x:v>
      </x:c>
      <x:c r="Q48" s="10" t="str">
        <x:v>Sprint 4 execution view; P0 QA; Design only; Đề xuất Pha 2. Không suy PASS từ preflight.</x:v>
      </x:c>
      <x:c r="R48" s="10" t="str">
        <x:v>POST /orders/{id}/items/{item_id}/void + PIN [TBD]</x:v>
      </x:c>
      <x:c r="S48" s="10" t="str">
        <x:v>Chưa có Postman Pha 2</x:v>
      </x:c>
      <x:c r="T48" s="10" t="str">
        <x:v>SRC-BRD; SRC-BOARD; SRC-CATALOG; SRC-OPENAPI (main snapshot); Sprint 4 view: 29/10/2026; runtime inventory 46d6049</x:v>
      </x:c>
      <x:c r="U48" s="10" t="str">
        <x:v>Contract: Đề xuất Pha 2; RFI: P2-RFI-PIN</x:v>
      </x:c>
    </x:row>
  </x:sheetData>
  <x:dataValidations count="1">
    <x:dataValidation type="list" sqref="L4:L48">
      <x:formula1>"Not Executed,Blocked,Passed,Failed,Pending,Deferred"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1" hidden="0" customWidth="1"/>
    <x:col min="3" max="3" width="36" hidden="0" customWidth="1"/>
    <x:col min="4" max="4" width="57" hidden="0" customWidth="1"/>
    <x:col min="5" max="5" width="30" hidden="0" customWidth="1"/>
    <x:col min="6" max="6" width="29" hidden="0" customWidth="1"/>
    <x:col min="7" max="7" width="51" hidden="0" customWidth="1"/>
    <x:col min="8" max="8" width="13" hidden="0" customWidth="1"/>
    <x:col min="9" max="9" width="58" hidden="0" customWidth="1"/>
  </x:cols>
  <x:sheetData>
    <x:row r="1" ht="24" customHeight="1">
      <x:c r="A1" s="1" t="str">
        <x:v>SPRINT 4 • ĐỐI CHIẾU BRD ↔ API / ĐIỀU KIỆN MỞ CHẶN</x:v>
      </x:c>
      <x:c r="B1" s="1"/>
      <x:c r="C1" s="1"/>
      <x:c r="D1" s="1"/>
      <x:c r="E1" s="1"/>
      <x:c r="F1" s="1"/>
      <x:c r="G1" s="1"/>
      <x:c r="H1" s="1"/>
      <x:c r="I1" s="1"/>
    </x:row>
    <x:row r="2" ht="24" customHeight="1">
      <x:c r="A2" s="2" t="str">
        <x:v>Mục D trong BE api-catalog là đề xuất. Build staging 46d6049 có 31 paths/35 REST ops; audit GET thuộc Phase 1.</x:v>
      </x:c>
      <x:c r="B2" s="2"/>
      <x:c r="C2" s="2"/>
      <x:c r="D2" s="2"/>
      <x:c r="E2" s="2"/>
      <x:c r="F2" s="2"/>
      <x:c r="G2" s="2"/>
      <x:c r="H2" s="2"/>
      <x:c r="I2" s="2"/>
    </x:row>
    <x:row r="3" ht="42" customHeight="1">
      <x:c r="A3" s="7" t="str">
        <x:v>Nhóm</x:v>
      </x:c>
      <x:c r="B3" s="7" t="str">
        <x:v>Số TC</x:v>
      </x:c>
      <x:c r="C3" s="7" t="str">
        <x:v>BRD / nguồn</x:v>
      </x:c>
      <x:c r="D3" s="7" t="str">
        <x:v>API đề xuất / đang có</x:v>
      </x:c>
      <x:c r="E3" s="7" t="str">
        <x:v>Runtime 29/10</x:v>
      </x:c>
      <x:c r="F3" s="7" t="str">
        <x:v>RFI / blocker</x:v>
      </x:c>
      <x:c r="G3" s="7" t="str">
        <x:v>Fixture / điều kiện mở</x:v>
      </x:c>
      <x:c r="H3" s="7" t="str">
        <x:v>Ưu tiên</x:v>
      </x:c>
      <x:c r="I3" s="7" t="str">
        <x:v>Hành động Sprint 4</x:v>
      </x:c>
    </x:row>
    <x:row r="4" ht="63" customHeight="1">
      <x:c r="A4" s="10" t="str">
        <x:v>Payment Processing</x:v>
      </x:c>
      <x:c r="B4" s="10" t="n">
        <x:v>11</x:v>
      </x:c>
      <x:c r="C4" s="10" t="str">
        <x:v>BRD Payment; BR-SB</x:v>
      </x:c>
      <x:c r="D4" s="10" t="str">
        <x:v>POST /orders/{id}/payments; /split-bill; webhook</x:v>
      </x:c>
      <x:c r="E4" s="10" t="str">
        <x:v>Payment v2 chưa có</x:v>
      </x:c>
      <x:c r="F4" s="10" t="str">
        <x:v>P2-RFI-PAY/SPLIT; BLK-P2-003</x:v>
      </x:c>
      <x:c r="G4" s="10" t="str">
        <x:v>PO/Finance xác nhận phương thức, sandbox, callback; BE schema/cleanup</x:v>
      </x:c>
      <x:c r="H4" s="10" t="str">
        <x:v>P0 trước</x:v>
      </x:c>
      <x:c r="I4" s="10" t="str">
        <x:v>Khi live: CASH → callback/retry → split; đối soát bill/ledger/audit</x:v>
      </x:c>
    </x:row>
    <x:row r="5" ht="63" customHeight="1">
      <x:c r="A5" s="10" t="str">
        <x:v>Table Management nâng cao</x:v>
      </x:c>
      <x:c r="B5" s="10" t="n">
        <x:v>12</x:v>
      </x:c>
      <x:c r="C5" s="10" t="str">
        <x:v>BR-TT-001..014; BR-MT-001..014; BR-SB</x:v>
      </x:c>
      <x:c r="D5" s="10" t="str">
        <x:v>/tables/{id}/transfer; /tables/merge; /orders/{id}/split</x:v>
      </x:c>
      <x:c r="E5" s="10" t="str">
        <x:v>Advanced table chưa có</x:v>
      </x:c>
      <x:c r="F5" s="10" t="str">
        <x:v>P2-RFI-TABLE; BLK-P2-005</x:v>
      </x:c>
      <x:c r="G5" s="10" t="str">
        <x:v>Hai bàn/session QA, ticket, QR, ownership và cleanup</x:v>
      </x:c>
      <x:c r="H5" s="10" t="str">
        <x:v>P0 trước</x:v>
      </x:c>
      <x:c r="I5" s="10" t="str">
        <x:v>Transfer → merge → split → RBAC/concurrency/outlet</x:v>
      </x:c>
    </x:row>
    <x:row r="6" ht="63" customHeight="1">
      <x:c r="A6" s="10" t="str">
        <x:v>User &amp; Permission</x:v>
      </x:c>
      <x:c r="B6" s="10" t="n">
        <x:v>9</x:v>
      </x:c>
      <x:c r="C6" s="10" t="str">
        <x:v>BRD Permission Matrix; SEC-02</x:v>
      </x:c>
      <x:c r="D6" s="10" t="str">
        <x:v>/staff; /lock; /unlock; /reset-password; /auth/pin-login; /refresh</x:v>
      </x:c>
      <x:c r="E6" s="10" t="str">
        <x:v>Chưa xác nhận contract Pha 2</x:v>
      </x:c>
      <x:c r="F6" s="10" t="str">
        <x:v>P2-RFI-ROLE/PIN</x:v>
      </x:c>
      <x:c r="G6" s="10" t="str">
        <x:v>Tài khoản QA riêng từng role/outlet; đường khôi phục</x:v>
      </x:c>
      <x:c r="H6" s="10" t="str">
        <x:v>P0 trước</x:v>
      </x:c>
      <x:c r="I6" s="10" t="str">
        <x:v>Quyền staff, invalidation token, PIN và khóa tài khoản</x:v>
      </x:c>
    </x:row>
    <x:row r="7" ht="63" customHeight="1">
      <x:c r="A7" s="10" t="str">
        <x:v>Audit Search / Report</x:v>
      </x:c>
      <x:c r="B7" s="10" t="n">
        <x:v>5</x:v>
      </x:c>
      <x:c r="C7" s="10" t="str">
        <x:v>BRD Audit &amp; Logging; Board Pha 2</x:v>
      </x:c>
      <x:c r="D7" s="10" t="str">
        <x:v>GET /api/v1/audit-logs đang có; export TBD</x:v>
      </x:c>
      <x:c r="E7" s="10" t="str">
        <x:v>GET có; export chưa chốt</x:v>
      </x:c>
      <x:c r="F7" s="10" t="str">
        <x:v>P2-RFI-AUD</x:v>
      </x:c>
      <x:c r="G7" s="10" t="str">
        <x:v>Supervisor JWT và audit fixture QA; kỳ vọng export/PII</x:v>
      </x:c>
      <x:c r="H7" s="10" t="str">
        <x:v>P1 sau</x:v>
      </x:c>
      <x:c r="I7" s="10" t="str">
        <x:v>Lọc/pagination/RBAC GET; export chỉ sau contract</x:v>
      </x:c>
    </x:row>
    <x:row r="8" ht="63" customHeight="1">
      <x:c r="A8" s="10" t="str">
        <x:v>System Control &amp; Monitoring</x:v>
      </x:c>
      <x:c r="B8" s="10" t="n">
        <x:v>5</x:v>
      </x:c>
      <x:c r="C8" s="10" t="str">
        <x:v>BRD Data Protection; Board hardening</x:v>
      </x:c>
      <x:c r="D8" s="10" t="str">
        <x:v>Sentry/logging; auth/QR/payment/rewards error capture</x:v>
      </x:c>
      <x:c r="E8" s="10" t="str">
        <x:v>Ngoài OpenAPI; cần deploy evidence</x:v>
      </x:c>
      <x:c r="F8" s="10" t="str">
        <x:v>P2-RFI-MON</x:v>
      </x:c>
      <x:c r="G8" s="10" t="str">
        <x:v>Sentry staging an toàn; role, scrub secrets, failure sandbox</x:v>
      </x:c>
      <x:c r="H8" s="10" t="str">
        <x:v>P1 sau</x:v>
      </x:c>
      <x:c r="I8" s="10" t="str">
        <x:v>Xác minh tín hiệu lỗi, PII redaction và correlation</x:v>
      </x:c>
    </x:row>
    <x:row r="9" ht="63" customHeight="1">
      <x:c r="A9" s="10" t="str">
        <x:v>Order Control Pha 2</x:v>
      </x:c>
      <x:c r="B9" s="10" t="n">
        <x:v>3</x:v>
      </x:c>
      <x:c r="C9" s="10" t="str">
        <x:v>S2-RFI-02/09; SEC-02</x:v>
      </x:c>
      <x:c r="D9" s="10" t="str">
        <x:v>expected_version on writes; PIN on void</x:v>
      </x:c>
      <x:c r="E9" s="10" t="str">
        <x:v>Chưa có version precondition/PIN input</x:v>
      </x:c>
      <x:c r="F9" s="10" t="str">
        <x:v>S2-RFI-02/09</x:v>
      </x:c>
      <x:c r="G9" s="10" t="str">
        <x:v>BE/PO chốt schema/status/error, fixture order &amp; PIN policy</x:v>
      </x:c>
      <x:c r="H9" s="10" t="str">
        <x:v>P0 trước</x:v>
      </x:c>
      <x:c r="I9" s="10" t="str">
        <x:v>Stale version 409 + current_version; PIN Void theo contract</x:v>
      </x:c>
    </x:row>
    <x:row r="11" ht="42" customHeight="1">
      <x:c r="A11" s="7" t="str">
        <x:v>Carryover</x:v>
      </x:c>
      <x:c r="B11" s="7" t="str">
        <x:v>TC cấp cao</x:v>
      </x:c>
      <x:c r="C11" s="7" t="str">
        <x:v>Nguồn</x:v>
      </x:c>
      <x:c r="D11" s="7" t="str">
        <x:v>Điều kiện</x:v>
      </x:c>
      <x:c r="E11" s="7" t="str">
        <x:v>Runtime</x:v>
      </x:c>
      <x:c r="F11" s="7" t="str">
        <x:v>Blocker</x:v>
      </x:c>
      <x:c r="G11" s="7" t="str">
        <x:v>Fixture</x:v>
      </x:c>
      <x:c r="H11" s="7" t="str">
        <x:v>Priority</x:v>
      </x:c>
      <x:c r="I11" s="7" t="str">
        <x:v>Quyết định</x:v>
      </x:c>
    </x:row>
    <x:row r="12" ht="50" customHeight="1">
      <x:c r="A12" s="10" t="str">
        <x:v>QR Ordering</x:v>
      </x:c>
      <x:c r="B12" s="10" t="str">
        <x:v>15 (master 71); 24 chi tiết</x:v>
      </x:c>
      <x:c r="C12" s="10" t="str">
        <x:v>BR-QR-001..010</x:v>
      </x:c>
      <x:c r="D12" s="10" t="str">
        <x:v>PO quyết định chuyển case chưa xong từ Sprint 3</x:v>
      </x:c>
      <x:c r="E12" s="10" t="str">
        <x:v>Không có public QR</x:v>
      </x:c>
      <x:c r="F12" s="10" t="str">
        <x:v>BLK-P2-001</x:v>
      </x:c>
      <x:c r="G12" s="10" t="str">
        <x:v>QR token/session, public FE, hai thiết bị</x:v>
      </x:c>
      <x:c r="H12" s="10" t="str">
        <x:v>P0</x:v>
      </x:c>
      <x:c r="I12" s="10" t="str">
        <x:v>Không nhân bản ID; liên kết master QR-001..024</x:v>
      </x:c>
    </x:row>
    <x:row r="13" ht="50" customHeight="1">
      <x:c r="A13" s="10" t="str">
        <x:v>Rewards</x:v>
      </x:c>
      <x:c r="B13" s="10" t="str">
        <x:v>11 (master 71); 20 chi tiết</x:v>
      </x:c>
      <x:c r="C13" s="10" t="str">
        <x:v>BRD Rewards</x:v>
      </x:c>
      <x:c r="D13" s="10" t="str">
        <x:v>PO/CRM chốt earn/redeem và chuyển case chưa xong</x:v>
      </x:c>
      <x:c r="E13" s="10" t="str">
        <x:v>Không có Rewards</x:v>
      </x:c>
      <x:c r="F13" s="10" t="str">
        <x:v>BLK-P2-002</x:v>
      </x:c>
      <x:c r="G13" s="10" t="str">
        <x:v>Member/ledger CRM và payment sandbox</x:v>
      </x:c>
      <x:c r="H13" s="10" t="str">
        <x:v>P0</x:v>
      </x:c>
      <x:c r="I13" s="10" t="str">
        <x:v>Không nhân bản ID; liên kết master RW-001..020</x:v>
      </x:c>
    </x:row>
    <x:row r="15">
      <x:c r="A15" t="str">
        <x:v>Nguồn chính: Pos System BRD(2).docx; AFG_POS_QAQC_71_Phase2_Bug_Report.xlsx; Project_Plan_QAQC_Sprint3_Gates_2026-10-26.xlsx; GitHub main/docs/api/api-catalog.md §D.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2" hidden="0" customWidth="1"/>
    <x:col min="3" max="3" width="14" hidden="0" customWidth="1"/>
    <x:col min="4" max="4" width="43" hidden="0" customWidth="1"/>
    <x:col min="5" max="5" width="19" hidden="0" customWidth="1"/>
    <x:col min="6" max="6" width="20" hidden="0" customWidth="1"/>
    <x:col min="7" max="7" width="51" hidden="0" customWidth="1"/>
    <x:col min="8" max="8" width="19" hidden="0" customWidth="1"/>
    <x:col min="9" max="9" width="19" hidden="0" customWidth="1"/>
    <x:col min="10" max="10" width="19" hidden="0" customWidth="1"/>
    <x:col min="11" max="11" width="42" hidden="0" customWidth="1"/>
    <x:col min="12" max="12" width="26" hidden="0" customWidth="1"/>
    <x:col min="13" max="13" width="59" hidden="0" customWidth="1"/>
  </x:cols>
  <x:sheetData>
    <x:row r="1" ht="24" customHeight="1">
      <x:c r="A1" s="1" t="str">
        <x:v>P0/P1 REGRESSION • EXECUTION LOG | 29/10/2026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4" customHeight="1">
      <x:c r="A2" s="2" t="str">
        <x:v>Đây là hồi quy Phase 1; không cộng vào 45 testcase Sprint 4.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42" customHeight="1">
      <x:c r="A3" s="7" t="str">
        <x:v>Run ID</x:v>
      </x:c>
      <x:c r="B3" s="7" t="str">
        <x:v>Run Date</x:v>
      </x:c>
      <x:c r="C3" s="7" t="str">
        <x:v>Environment</x:v>
      </x:c>
      <x:c r="D3" s="7" t="str">
        <x:v>Build / SHA</x:v>
      </x:c>
      <x:c r="E3" s="7" t="str">
        <x:v>Tool</x:v>
      </x:c>
      <x:c r="F3" s="7" t="str">
        <x:v>Test Ref</x:v>
      </x:c>
      <x:c r="G3" s="7" t="str">
        <x:v>Action</x:v>
      </x:c>
      <x:c r="H3" s="7" t="str">
        <x:v>Expected HTTP</x:v>
      </x:c>
      <x:c r="I3" s="7" t="str">
        <x:v>Actual HTTP</x:v>
      </x:c>
      <x:c r="J3" s="7" t="str">
        <x:v>Result</x:v>
      </x:c>
      <x:c r="K3" s="7" t="str">
        <x:v>Evidence</x:v>
      </x:c>
      <x:c r="L3" s="7" t="str">
        <x:v>Tester</x:v>
      </x:c>
      <x:c r="M3" s="7" t="str">
        <x:v>Note</x:v>
      </x:c>
    </x:row>
    <x:row r="4" ht="48" customHeight="1">
      <x:c r="A4" s="9" t="str">
        <x:v>REG-PF-20261029-082916</x:v>
      </x:c>
      <x:c r="B4" s="9" t="str">
        <x:v>29/10/2026 08:29</x:v>
      </x:c>
      <x:c r="C4" s="9" t="str">
        <x:v>Staging</x:v>
      </x:c>
      <x:c r="D4" s="9" t="str">
        <x:v>46d6049b7228bfe023a42c84269fb3fb8464be63</x:v>
      </x:c>
      <x:c r="E4" s="9" t="str">
        <x:v>Python / curl</x:v>
      </x:c>
      <x:c r="F4" s="9" t="str">
        <x:v>P0/P1 preflight</x:v>
      </x:c>
      <x:c r="G4" s="10" t="str">
        <x:v>GET /version, /health, /openapi.json</x:v>
      </x:c>
      <x:c r="H4" s="10" t="str">
        <x:v>200/200/200</x:v>
      </x:c>
      <x:c r="I4" s="10" t="str">
        <x:v>200/200/200</x:v>
      </x:c>
      <x:c r="J4" s="10" t="str">
        <x:v>Preflight Passed</x:v>
      </x:c>
      <x:c r="K4" s="10" t="str">
        <x:v>P0P1_SAFE_REGRESSION_2026-10-29.json</x:v>
      </x:c>
      <x:c r="L4" s="10" t="str">
        <x:v>Nguyễn Hà Đăng Khoa</x:v>
      </x:c>
      <x:c r="M4" s="10" t="str">
        <x:v>31 paths, 35 REST ops; SHA trước/sau không đổi.</x:v>
      </x:c>
    </x:row>
    <x:row r="5" ht="48" customHeight="1">
      <x:c r="A5" s="9" t="str">
        <x:v>REG-P0-20261029-082916</x:v>
      </x:c>
      <x:c r="B5" s="9" t="str">
        <x:v>29/10/2026 08:29</x:v>
      </x:c>
      <x:c r="C5" s="9" t="str">
        <x:v>Staging</x:v>
      </x:c>
      <x:c r="D5" s="9" t="str">
        <x:v>46d6049b7228bfe023a42c84269fb3fb8464be63</x:v>
      </x:c>
      <x:c r="E5" s="9" t="str">
        <x:v>Python / curl</x:v>
      </x:c>
      <x:c r="F5" s="9" t="str">
        <x:v>TC_EXT_009</x:v>
      </x:c>
      <x:c r="G5" s="10" t="str">
        <x:v>GET /api/v1/tables không Authorization</x:v>
      </x:c>
      <x:c r="H5" s="10" t="str">
        <x:v>401</x:v>
      </x:c>
      <x:c r="I5" s="10" t="str">
        <x:v>401</x:v>
      </x:c>
      <x:c r="J5" s="10" t="str">
        <x:v>Passed</x:v>
      </x:c>
      <x:c r="K5" s="10" t="str">
        <x:v>P0P1_SAFE_REGRESSION_2026-10-29.json</x:v>
      </x:c>
      <x:c r="L5" s="10" t="str">
        <x:v>Nguyễn Hà Đăng Khoa</x:v>
      </x:c>
      <x:c r="M5" s="10" t="str">
        <x:v>Không tiết lộ danh sách bàn; hồi quy Phase 1 trên build 46d6049.</x:v>
      </x:c>
    </x:row>
    <x:row r="6" ht="48" customHeight="1">
      <x:c r="A6" s="9" t="str">
        <x:v>REG-P1-20261029-082916</x:v>
      </x:c>
      <x:c r="B6" s="9" t="str">
        <x:v>29/10/2026 08:29</x:v>
      </x:c>
      <x:c r="C6" s="9" t="str">
        <x:v>Staging</x:v>
      </x:c>
      <x:c r="D6" s="9" t="str">
        <x:v>46d6049b7228bfe023a42c84269fb3fb8464be63</x:v>
      </x:c>
      <x:c r="E6" s="9" t="str">
        <x:v>Python / curl</x:v>
      </x:c>
      <x:c r="F6" s="9" t="str">
        <x:v>TC_API_01_003</x:v>
      </x:c>
      <x:c r="G6" s="10" t="str">
        <x:v>POST /api/v1/auth/login thiếu username</x:v>
      </x:c>
      <x:c r="H6" s="10" t="str">
        <x:v>422</x:v>
      </x:c>
      <x:c r="I6" s="10" t="str">
        <x:v>422</x:v>
      </x:c>
      <x:c r="J6" s="10" t="str">
        <x:v>Passed</x:v>
      </x:c>
      <x:c r="K6" s="10" t="str">
        <x:v>P0P1_SAFE_REGRESSION_2026-10-29.json</x:v>
      </x:c>
      <x:c r="L6" s="10" t="str">
        <x:v>Nguyễn Hà Đăng Khoa</x:v>
      </x:c>
      <x:c r="M6" s="10" t="str">
        <x:v>Validation báo thiếu username và không trả access_token; không dùng PIN/JWT.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5" hidden="0" customWidth="1"/>
    <x:col min="4" max="4" width="18" hidden="0" customWidth="1"/>
    <x:col min="5" max="5" width="16" hidden="0" customWidth="1"/>
    <x:col min="6" max="6" width="17" hidden="0" customWidth="1"/>
    <x:col min="7" max="7" width="17" hidden="0" customWidth="1"/>
    <x:col min="8" max="8" width="45" hidden="0" customWidth="1"/>
    <x:col min="9" max="9" width="50" hidden="0" customWidth="1"/>
    <x:col min="10" max="10" width="55" hidden="0" customWidth="1"/>
    <x:col min="11" max="11" width="47" hidden="0" customWidth="1"/>
    <x:col min="12" max="12" width="48" hidden="0" customWidth="1"/>
    <x:col min="13" max="13" width="43" hidden="0" customWidth="1"/>
    <x:col min="14" max="14" width="18" hidden="0" customWidth="1"/>
    <x:col min="15" max="15" width="45" hidden="0" customWidth="1"/>
    <x:col min="16" max="16" width="24" hidden="0" customWidth="1"/>
    <x:col min="17" max="17" width="27" hidden="0" customWidth="1"/>
    <x:col min="18" max="18" width="20" hidden="0" customWidth="1"/>
    <x:col min="19" max="19" width="20" hidden="0" customWidth="1"/>
    <x:col min="20" max="20" width="20" hidden="0" customWidth="1"/>
    <x:col min="21" max="21" width="50" hidden="0" customWidth="1"/>
  </x:cols>
  <x:sheetData>
    <x:row r="1" ht="24" customHeight="1">
      <x:c r="A1" s="1" t="str">
        <x:v>BUG REPORT • SPRINT 4 | ghi khi case thực thi Failed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24" customHeight="1">
      <x:c r="A2" s="2" t="str">
        <x:v>Hiện chưa có business Sprint 4 Failed. Contract/fixture thiếu: xem BRD API Trace và BLK-P2-001..006 ở master 71.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42" customHeight="1">
      <x:c r="A3" s="7" t="str">
        <x:v>Bug / Blocker ID</x:v>
      </x:c>
      <x:c r="B3" s="7" t="str">
        <x:v>TC ID</x:v>
      </x:c>
      <x:c r="C3" s="7" t="str">
        <x:v>Run ID</x:v>
      </x:c>
      <x:c r="D3" s="7" t="str">
        <x:v>Loại</x:v>
      </x:c>
      <x:c r="E3" s="7" t="str">
        <x:v>Severity</x:v>
      </x:c>
      <x:c r="F3" s="7" t="str">
        <x:v>TC Status</x:v>
      </x:c>
      <x:c r="G3" s="7" t="str">
        <x:v>Xử lý</x:v>
      </x:c>
      <x:c r="H3" s="7" t="str">
        <x:v>Tiêu đề</x:v>
      </x:c>
      <x:c r="I3" s="7" t="str">
        <x:v>Điều kiện / mô tả</x:v>
      </x:c>
      <x:c r="J3" s="7" t="str">
        <x:v>Bước tái hiện</x:v>
      </x:c>
      <x:c r="K3" s="7" t="str">
        <x:v>Expected</x:v>
      </x:c>
      <x:c r="L3" s="7" t="str">
        <x:v>Actual / HTTP</x:v>
      </x:c>
      <x:c r="M3" s="7" t="str">
        <x:v>Build / SHA</x:v>
      </x:c>
      <x:c r="N3" s="7" t="str">
        <x:v>Environment</x:v>
      </x:c>
      <x:c r="O3" s="7" t="str">
        <x:v>Evidence</x:v>
      </x:c>
      <x:c r="P3" s="7" t="str">
        <x:v>Owner</x:v>
      </x:c>
      <x:c r="Q3" s="7" t="str">
        <x:v>RFI / Dependency</x:v>
      </x:c>
      <x:c r="R3" s="7" t="str">
        <x:v>Ngày phát hiện</x:v>
      </x:c>
      <x:c r="S3" s="7" t="str">
        <x:v>Ngày retest</x:v>
      </x:c>
      <x:c r="T3" s="7" t="str">
        <x:v>Retest Result</x:v>
      </x:c>
      <x:c r="U3" s="7" t="str">
        <x:v>Ghi chú / quyết định</x:v>
      </x:c>
    </x:row>
    <x:row r="4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</x:row>
    <x:row r="5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</x:row>
    <x:row r="6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</x:row>
    <x:row r="8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</x:row>
    <x:row r="10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</x:row>
    <x:row r="1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</x:row>
    <x:row r="12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</x:row>
    <x:row r="13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</x:row>
    <x:row r="14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</x:row>
    <x:row r="15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</x:row>
    <x:row r="16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</x:row>
    <x:row r="17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</x:row>
    <x:row r="18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</x:row>
    <x:row r="19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</x:row>
    <x:row r="20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</x:row>
    <x:row r="2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</x:row>
    <x:row r="22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</x:row>
    <x:row r="23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</x:row>
    <x:row r="24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</x:row>
    <x:row r="25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</x:row>
    <x:row r="26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</x:row>
    <x:row r="27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</x:row>
    <x:row r="28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</x:row>
    <x:row r="33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</x:row>
  </x:sheetData>
  <x:dataValidations count="2">
    <x:dataValidation type="list" sqref="D4:D33">
      <x:formula1>"BUG,BLOCKER"</x:formula1>
    </x:dataValidation>
    <x:dataValidation type="list" sqref="F4:F33">
      <x:formula1>"Failed,Blocked,Passed"</x:formula1>
    </x:dataValidation>
  </x:dataValidations>
  <x:pageMargins left="0.7" right="0.7" top="0.75" bottom="0.75" header="0.3" footer="0.3"/>
</x:worksheet>
</file>