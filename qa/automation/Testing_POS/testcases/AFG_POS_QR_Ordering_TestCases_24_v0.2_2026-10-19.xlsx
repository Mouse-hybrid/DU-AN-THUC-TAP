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086df77d4740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4c684460a6f44227"/>
    <x:sheet xmlns:r="http://schemas.openxmlformats.org/officeDocument/2006/relationships" name="Dashboard" sheetId="2" r:id="R7510d6c0b8624290"/>
    <x:sheet xmlns:r="http://schemas.openxmlformats.org/officeDocument/2006/relationships" name="Execution Log" sheetId="3" r:id="Rd07a03f5656b4aa2"/>
    <x:sheet xmlns:r="http://schemas.openxmlformats.org/officeDocument/2006/relationships" name="RFI &amp; Gaps" sheetId="4" r:id="R60298b29f12245bc"/>
    <x:sheet xmlns:r="http://schemas.openxmlformats.org/officeDocument/2006/relationships" name="Nguồn &amp; Version" sheetId="5" r:id="Rc8c510e571ae46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sz val="10"/>
      <x:color rgb="FF24323D"/>
      <x:name val="Arial"/>
    </x:font>
    <x:font>
      <x:b/>
      <x:sz val="15"/>
      <x:color rgb="FFFFFFFF"/>
      <x:name val="Arial"/>
    </x:font>
    <x:font>
      <x:b/>
      <x:sz val="10"/>
      <x:color rgb="FF24323D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2577A"/>
      </x:patternFill>
    </x:fill>
    <x:fill>
      <x:patternFill patternType="solid">
        <x:fgColor rgb="FFE8F3F8"/>
      </x:patternFill>
    </x:fill>
    <x:fill>
      <x:patternFill patternType="solid">
        <x:fgColor rgb="FF17324D"/>
      </x:patternFill>
    </x:fill>
    <x:fill>
      <x:patternFill patternType="solid">
        <x:fgColor rgb="FFFFF7E6"/>
      </x:patternFill>
    </x:fill>
  </x:fills>
  <x:borders count="4">
    <x:border>
      <x:left/>
      <x:right/>
      <x:top/>
      <x:bottom/>
      <x:diagonal/>
    </x:border>
    <x:border>
      <x:left/>
      <x:right style="thin">
        <x:color rgb="FFD9E2E9"/>
      </x:right>
      <x:top/>
      <x:bottom/>
      <x:diagonal/>
    </x:border>
    <x:border>
      <x:left style="thin">
        <x:color rgb="FFD9E2E9"/>
      </x:left>
      <x:right style="thin">
        <x:color rgb="FFD9E2E9"/>
      </x:right>
      <x:top/>
      <x:bottom/>
      <x:diagonal/>
    </x:border>
    <x:border>
      <x:left style="thin">
        <x:color rgb="FFD9E2E9"/>
      </x:left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top"/>
    </x:xf>
    <x:xf numFmtId="0" fontId="1" fillId="5" borderId="0" xfId="0" applyNumberFormat="1" applyFont="1" applyFill="1" applyBorder="1" applyAlignment="1">
      <x:alignment vertical="top"/>
    </x:xf>
  </x:cellXfs>
  <x:cellStyles count="1">
    <x:cellStyle name="Normal" xfId="0"/>
  </x:cellStyles>
  <x:dxfs count="8">
    <x:dxf>
      <x:font>
        <x:b/>
        <x:color rgb="FF176534"/>
      </x:font>
      <x:fill>
        <x:patternFill>
          <x:bgColor rgb="FFDFF2E4"/>
        </x:patternFill>
      </x:fill>
    </x:dxf>
    <x:dxf>
      <x:font>
        <x:b/>
        <x:color rgb="FFAD2626"/>
      </x:font>
      <x:fill>
        <x:patternFill>
          <x:bgColor rgb="FFFCE4E4"/>
        </x:patternFill>
      </x:fill>
    </x:dxf>
    <x:dxf>
      <x:font>
        <x:b/>
        <x:color rgb="FF915A00"/>
      </x:font>
      <x:fill>
        <x:patternFill>
          <x:bgColor rgb="FFFDEBC8"/>
        </x:patternFill>
      </x:fill>
    </x:dxf>
    <x:dxf>
      <x:font>
        <x:b/>
        <x:color rgb="FF7C5E00"/>
      </x:font>
      <x:fill>
        <x:patternFill>
          <x:bgColor rgb="FFFFF4CF"/>
        </x:patternFill>
      </x:fill>
    </x:dxf>
    <x:dxf>
      <x:font>
        <x:b/>
        <x:color rgb="FF215AB3"/>
      </x:font>
      <x:fill>
        <x:patternFill>
          <x:bgColor rgb="FFE1EDFF"/>
        </x:patternFill>
      </x:fill>
    </x:dxf>
    <x:dxf>
      <x:font>
        <x:b/>
        <x:color rgb="FF55626E"/>
      </x:font>
      <x:fill>
        <x:patternFill>
          <x:bgColor rgb="FFEDF0F4"/>
        </x:patternFill>
      </x:fill>
    </x:dxf>
    <x:dxf>
      <x:font>
        <x:b/>
        <x:color rgb="FF5F43A8"/>
      </x:font>
      <x:fill>
        <x:patternFill>
          <x:bgColor rgb="FFECE5FF"/>
        </x:patternFill>
      </x:fill>
    </x:dxf>
    <x:dxf>
      <x:font>
        <x:b/>
        <x:color rgb="FF6D7379"/>
      </x:font>
      <x:fill>
        <x:patternFill>
          <x:bgColor rgb="FFF1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9f95236c034863" /><Relationship Type="http://schemas.openxmlformats.org/officeDocument/2006/relationships/theme" Target="/xl/theme/theme1.xml" Id="R3bb1b98cec32420d" /><Relationship Type="http://schemas.openxmlformats.org/officeDocument/2006/relationships/sharedStrings" Target="/xl/sharedStrings.xml" Id="Rf388686d46ee40f6" /><Relationship Type="http://schemas.openxmlformats.org/officeDocument/2006/relationships/worksheet" Target="/xl/worksheets/sheet1.xml" Id="R4c684460a6f44227" /><Relationship Type="http://schemas.openxmlformats.org/officeDocument/2006/relationships/worksheet" Target="/xl/worksheets/sheet2.xml" Id="R7510d6c0b8624290" /><Relationship Type="http://schemas.openxmlformats.org/officeDocument/2006/relationships/worksheet" Target="/xl/worksheets/sheet3.xml" Id="Rd07a03f5656b4aa2" /><Relationship Type="http://schemas.openxmlformats.org/officeDocument/2006/relationships/worksheet" Target="/xl/worksheets/sheet4.xml" Id="R60298b29f12245bc" /><Relationship Type="http://schemas.openxmlformats.org/officeDocument/2006/relationships/worksheet" Target="/xl/worksheets/sheet5.xml" Id="Rc8c510e571ae4602" /></Relationships>
</file>

<file path=xl/tables/table1.xml><?xml version="1.0" encoding="utf-8"?>
<x:table xmlns:x="http://schemas.openxmlformats.org/spreadsheetml/2006/main" id="1" name="QrCasesTable" displayName="QrCasesTable" ref="A3:W27" headerRowCount="1" totalsRowCount="0" totalsRowShown="0">
  <x:autoFilter ref="A3:W27"/>
  <x:tableColumns count="23">
    <x:tableColumn id="1" name="TC ID"/>
    <x:tableColumn id="2" name="Tiêu đề Test Case"/>
    <x:tableColumn id="3" name="Module"/>
    <x:tableColumn id="4" name="Priority"/>
    <x:tableColumn id="5" name="Severity"/>
    <x:tableColumn id="6" name="Loại Test"/>
    <x:tableColumn id="7" name="Preconditions&#10;(Điều kiện tiên quyết)"/>
    <x:tableColumn id="8" name="Test Steps&#10;(Các bước thực hiện)"/>
    <x:tableColumn id="9" name="Test Data&#10;(Dữ liệu đầu vào)"/>
    <x:tableColumn id="10" name="Expected Result&#10;(Kết quả mong đợi)"/>
    <x:tableColumn id="11" name="Actual Result&#10;(Kết quả thực tế)"/>
    <x:tableColumn id="12" name="Status"/>
    <x:tableColumn id="13" name="Ngày thực hiện"/>
    <x:tableColumn id="14" name="Người thực hiện"/>
    <x:tableColumn id="15" name="Req ID"/>
    <x:tableColumn id="16" name="Automation?"/>
    <x:tableColumn id="17" name="Ghi chú"/>
    <x:tableColumn id="18" name="Method + Endpoint"/>
    <x:tableColumn id="19" name="Postman Ref"/>
    <x:tableColumn id="20" name="Nguồn / Version"/>
    <x:tableColumn id="21" name="Contract / RFI"/>
    <x:tableColumn id="22" name="Execution Evidence"/>
    <x:tableColumn id="23" name="Run ID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dd75d9732e43d8" /></Relationships>
</file>

<file path=xl/worksheets/sheet1.xml><?xml version="1.0" encoding="utf-8"?>
<x:worksheet xmlns:x="http://schemas.openxmlformats.org/spreadsheetml/2006/main">
  <x:sheetPr>
    <x:tabColor rgb="FF22577A"/>
  </x:sheetPr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7" hidden="0" customWidth="1"/>
    <x:col min="2" max="2" width="46" hidden="0" customWidth="1"/>
    <x:col min="3" max="3" width="20" hidden="0" customWidth="1"/>
    <x:col min="4" max="4" width="12" hidden="0" customWidth="1"/>
    <x:col min="5" max="5" width="12" hidden="0" customWidth="1"/>
    <x:col min="6" max="6" width="23" hidden="0" customWidth="1"/>
    <x:col min="7" max="7" width="48" hidden="0" customWidth="1"/>
    <x:col min="8" max="8" width="67" hidden="0" customWidth="1"/>
    <x:col min="9" max="9" width="50" hidden="0" customWidth="1"/>
    <x:col min="10" max="10" width="64" hidden="0" customWidth="1"/>
    <x:col min="11" max="11" width="58" hidden="0" customWidth="1"/>
    <x:col min="12" max="12" width="18" hidden="0" customWidth="1"/>
    <x:col min="13" max="13" width="19" hidden="0" customWidth="1"/>
    <x:col min="14" max="14" width="25" hidden="0" customWidth="1"/>
    <x:col min="15" max="15" width="45" hidden="0" customWidth="1"/>
    <x:col min="16" max="16" width="17" hidden="0" customWidth="1"/>
    <x:col min="17" max="17" width="48" hidden="0" customWidth="1"/>
    <x:col min="18" max="18" width="52" hidden="0" customWidth="1"/>
    <x:col min="19" max="19" width="21" hidden="0" customWidth="1"/>
    <x:col min="20" max="20" width="60" hidden="0" customWidth="1"/>
    <x:col min="21" max="21" width="51" hidden="0" customWidth="1"/>
    <x:col min="22" max="22" width="62" hidden="0" customWidth="1"/>
    <x:col min="23" max="23" width="25" hidden="0" customWidth="1"/>
  </x:cols>
  <x:sheetData>
    <x:row r="1" ht="35" customHeight="1">
      <x:c r="A1" s="5" t="str">
        <x:v>AFG POS – QA/QC QR ORDERING TEST CASES | 18/10/2026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</x:row>
    <x:row r="2" ht="32" customHeight="1">
      <x:c r="A2" s="8" t="str">
        <x:v>24 test cases | SIT design | Source: BRD/HLR</x:v>
      </x:c>
      <x:c r="B2" s="8"/>
      <x:c r="C2" s="8"/>
      <x:c r="D2" s="8"/>
      <x:c r="E2" s="8"/>
      <x:c r="F2" s="8"/>
      <x:c r="G2" s="8"/>
      <x:c r="H2" s="8" t="str">
        <x:v>Staging /version 972b94294fe1 | QR/Rewards API chưa xuất hiện</x:v>
      </x:c>
      <x:c r="I2" s="8"/>
      <x:c r="J2" s="8"/>
      <x:c r="K2" s="8"/>
      <x:c r="L2" s="8"/>
      <x:c r="M2" s="8"/>
      <x:c r="N2" s="8"/>
      <x:c r="O2" s="8" t="str">
        <x:v>24 Not Executed | 0 Passed | Ghi evidence theo từng run</x:v>
      </x:c>
      <x:c r="P2" s="8"/>
      <x:c r="Q2" s="8"/>
      <x:c r="R2" s="8"/>
      <x:c r="S2" s="8"/>
      <x:c r="T2" s="8"/>
      <x:c r="U2" s="8"/>
      <x:c r="V2" s="8"/>
      <x:c r="W2" s="8"/>
    </x:row>
    <x:row r="3" ht="43" customHeight="1">
      <x:c r="A3" s="17" t="str">
        <x:v>TC ID</x:v>
      </x:c>
      <x:c r="B3" s="18" t="str">
        <x:v>Tiêu đề Test Case</x:v>
      </x:c>
      <x:c r="C3" s="18" t="str">
        <x:v>Module</x:v>
      </x:c>
      <x:c r="D3" s="18" t="str">
        <x:v>Priority</x:v>
      </x:c>
      <x:c r="E3" s="18" t="str">
        <x:v>Severity</x:v>
      </x:c>
      <x:c r="F3" s="18" t="str">
        <x:v>Loại Test</x:v>
      </x:c>
      <x:c r="G3" s="18" t="str">
        <x:v>Preconditions
(Điều kiện tiên quyết)</x:v>
      </x:c>
      <x:c r="H3" s="18" t="str">
        <x:v>Test Steps
(Các bước thực hiện)</x:v>
      </x:c>
      <x:c r="I3" s="18" t="str">
        <x:v>Test Data
(Dữ liệu đầu vào)</x:v>
      </x:c>
      <x:c r="J3" s="18" t="str">
        <x:v>Expected Result
(Kết quả mong đợi)</x:v>
      </x:c>
      <x:c r="K3" s="18" t="str">
        <x:v>Actual Result
(Kết quả thực tế)</x:v>
      </x:c>
      <x:c r="L3" s="18" t="str">
        <x:v>Status</x:v>
      </x:c>
      <x:c r="M3" s="18" t="str">
        <x:v>Ngày thực hiện</x:v>
      </x:c>
      <x:c r="N3" s="18" t="str">
        <x:v>Người thực hiện</x:v>
      </x:c>
      <x:c r="O3" s="18" t="str">
        <x:v>Req ID</x:v>
      </x:c>
      <x:c r="P3" s="18" t="str">
        <x:v>Automation?</x:v>
      </x:c>
      <x:c r="Q3" s="18" t="str">
        <x:v>Ghi chú</x:v>
      </x:c>
      <x:c r="R3" s="18" t="str">
        <x:v>Method + Endpoint</x:v>
      </x:c>
      <x:c r="S3" s="18" t="str">
        <x:v>Postman Ref</x:v>
      </x:c>
      <x:c r="T3" s="18" t="str">
        <x:v>Nguồn / Version</x:v>
      </x:c>
      <x:c r="U3" s="18" t="str">
        <x:v>Contract / RFI</x:v>
      </x:c>
      <x:c r="V3" s="18" t="str">
        <x:v>Execution Evidence</x:v>
      </x:c>
      <x:c r="W3" s="19" t="str">
        <x:v>Run ID</x:v>
      </x:c>
    </x:row>
    <x:row r="4" ht="78" customHeight="1">
      <x:c r="A4" s="21" t="str">
        <x:v>QR-001</x:v>
      </x:c>
      <x:c r="B4" s="21" t="str">
        <x:v>Zero-login và thời gian gửi món</x:v>
      </x:c>
      <x:c r="C4" s="21" t="str">
        <x:v>QR Ordering</x:v>
      </x:c>
      <x:c r="D4" s="21" t="str">
        <x:v>Critical</x:v>
      </x:c>
      <x:c r="E4" s="21" t="str">
        <x:v>High</x:v>
      </x:c>
      <x:c r="F4" s="21" t="str">
        <x:v>Happy path / performance</x:v>
      </x:c>
      <x:c r="G4" s="21" t="str">
        <x:v>Staging/FE đúng baseline; table_session và QR QA cô lập. Có Contract+FE+fixture và dữ liệu/bàn đối chứng cần thiết trước khi chạy.</x:v>
      </x:c>
      <x:c r="H4" s="21" t="str">
        <x:v>1. Mở table_session QA và ghi /version; chuẩn bị QR hợp lệ, món available.
2. Trên mobile chưa có tài khoản, quét QR, chọn món và gửi.
3. Ghi t0/t1 theo phép đo được PO duyệt; đối chiếu POS GET order/Queue.</x:v>
      </x:c>
      <x:c r="I4" s="21" t="str">
        <x:v>Bàn QA đang OCCUPIED, QR còn hiệu lực; mở trên mobile chưa đăng nhập. Quét QR → chọn món → gửi. Đo từ lúc menu khả dụng đến xác nhận gửi theo định nghĩa PO.</x:v>
      </x:c>
      <x:c r="J4" s="21" t="str">
        <x:v>Không ép đăng nhập; một đơn hợp lệ vào đúng phiên; luồng hoàn tất ≤30 giây theo phép đo đã chốt.</x:v>
      </x:c>
      <x:c r="K4" s="22"/>
      <x:c r="L4" s="22" t="str">
        <x:v>Not Executed</x:v>
      </x:c>
      <x:c r="M4" s="22"/>
      <x:c r="N4" s="22"/>
      <x:c r="O4" s="21" t="str">
        <x:v>BR-QR-001/002; QR-HL-001</x:v>
      </x:c>
      <x:c r="P4" s="21" t="str">
        <x:v>Không</x:v>
      </x:c>
      <x:c r="Q4" s="21" t="str">
        <x:v>Gate: Contract+FE+fixture; Owner: PO/BE; mở khi QR-RFI-03 được chốt và contract/fixture staging sẵn sàng từ 26/10. Chưa chạy.</x:v>
      </x:c>
      <x:c r="R4" s="21" t="str">
        <x:v>TBD – endpoint QR/Rewards chưa có trên OpenAPI staging</x:v>
      </x:c>
      <x:c r="S4" s="21" t="str">
        <x:v>Chưa có</x:v>
      </x:c>
      <x:c r="T4" s="21" t="str">
        <x:v>Pos System BRD(2), High Level Requirements(2), 18/10/2026; staging /version 972b94294fe1</x:v>
      </x:c>
      <x:c r="U4" s="21" t="str">
        <x:v>Gate: Contract+FE+fixture; RFI: QR-RFI-03</x:v>
      </x:c>
      <x:c r="V4" s="22"/>
      <x:c r="W4" s="22"/>
    </x:row>
    <x:row r="5" ht="78" customHeight="1">
      <x:c r="A5" s="21" t="str">
        <x:v>QR-002</x:v>
      </x:c>
      <x:c r="B5" s="21" t="str">
        <x:v>Số điện thoại là tùy chọn</x:v>
      </x:c>
      <x:c r="C5" s="21" t="str">
        <x:v>QR Ordering</x:v>
      </x:c>
      <x:c r="D5" s="21" t="str">
        <x:v>Critical</x:v>
      </x:c>
      <x:c r="E5" s="21" t="str">
        <x:v>High</x:v>
      </x:c>
      <x:c r="F5" s="21" t="str">
        <x:v>Optional input</x:v>
      </x:c>
      <x:c r="G5" s="21" t="str">
        <x:v>Staging/FE đúng baseline; table_session và QR QA cô lập. Có Contract+FE và dữ liệu/bàn đối chứng cần thiết trước khi chạy.</x:v>
      </x:c>
      <x:c r="H5" s="21" t="str">
        <x:v>1. Quét QR; bỏ trống số điện thoại và gửi đơn A.
2. Tạo giỏ mới, nhập số QA và gửi đơn B.
3. Đối chiếu hai đơn/phiên và trạng thái nhận diện khách nếu có.</x:v>
      </x:c>
      <x:c r="I5" s="21" t="str">
        <x:v>Với cùng QR, lần A bỏ trống số điện thoại, lần B nhập số điện thoại QA hợp lệ; gửi hai đơn độc lập.</x:v>
      </x:c>
      <x:c r="J5" s="21" t="str">
        <x:v>Lần A vẫn đặt được; lần B liên kết nhận diện Rewards nếu người dùng đồng ý; không bắt buộc có tài khoản.</x:v>
      </x:c>
      <x:c r="K5" s="22"/>
      <x:c r="L5" s="22" t="str">
        <x:v>Not Executed</x:v>
      </x:c>
      <x:c r="M5" s="22"/>
      <x:c r="N5" s="22"/>
      <x:c r="O5" s="21" t="str">
        <x:v>BR-QR-003; QR-HL-002</x:v>
      </x:c>
      <x:c r="P5" s="21" t="str">
        <x:v>Không</x:v>
      </x:c>
      <x:c r="Q5" s="21" t="str">
        <x:v>Gate: Contract+FE; Owner: BE; mở khi QR-RFI-04 được chốt và contract/fixture staging sẵn sàng từ 26/10. Chưa chạy.</x:v>
      </x:c>
      <x:c r="R5" s="21" t="str">
        <x:v>TBD – endpoint QR/Rewards chưa có trên OpenAPI staging</x:v>
      </x:c>
      <x:c r="S5" s="21" t="str">
        <x:v>Chưa có</x:v>
      </x:c>
      <x:c r="T5" s="21" t="str">
        <x:v>Pos System BRD(2), High Level Requirements(2), 18/10/2026; staging /version 972b94294fe1</x:v>
      </x:c>
      <x:c r="U5" s="21" t="str">
        <x:v>Gate: Contract+FE; RFI: QR-RFI-04</x:v>
      </x:c>
      <x:c r="V5" s="22"/>
      <x:c r="W5" s="22"/>
    </x:row>
    <x:row r="6" ht="78" customHeight="1">
      <x:c r="A6" s="21" t="str">
        <x:v>QR-003</x:v>
      </x:c>
      <x:c r="B6" s="21" t="str">
        <x:v>Gắn đúng bàn và phiên</x:v>
      </x:c>
      <x:c r="C6" s="21" t="str">
        <x:v>QR Ordering</x:v>
      </x:c>
      <x:c r="D6" s="21" t="str">
        <x:v>Critical</x:v>
      </x:c>
      <x:c r="E6" s="21" t="str">
        <x:v>High</x:v>
      </x:c>
      <x:c r="F6" s="21" t="str">
        <x:v>Mapping</x:v>
      </x:c>
      <x:c r="G6" s="21" t="str">
        <x:v>Staging/FE đúng baseline; table_session và QR QA cô lập. Có Token+fixture và dữ liệu/bàn đối chứng cần thiết trước khi chạy.</x:v>
      </x:c>
      <x:c r="H6" s="21" t="str">
        <x:v>1. Mở phiên ở bàn QA A, thêm bàn B làm đối chứng.
2. Quét QR A và gửi món.
3. Đọc order, table detail và B để so table_id/outlet/session.</x:v>
      </x:c>
      <x:c r="I6" s="21" t="str">
        <x:v>In QR của bàn B4; mở đúng phiên B4 và một bàn B5 làm đối chứng; gửi món từ B4.</x:v>
      </x:c>
      <x:c r="J6" s="21" t="str">
        <x:v>table_id/outlet_id/table_session_id của đơn trùng QR B4; B5 không đổi; dữ liệu phiên truy xuất được trên POS.</x:v>
      </x:c>
      <x:c r="K6" s="22"/>
      <x:c r="L6" s="22" t="str">
        <x:v>Not Executed</x:v>
      </x:c>
      <x:c r="M6" s="22"/>
      <x:c r="N6" s="22"/>
      <x:c r="O6" s="21" t="str">
        <x:v>BR-QR-004; QR-HL-003; TABLE-HL-017</x:v>
      </x:c>
      <x:c r="P6" s="21" t="str">
        <x:v>Không</x:v>
      </x:c>
      <x:c r="Q6" s="21" t="str">
        <x:v>Gate: Token+fixture; Owner: PO/BE; mở khi QR-RFI-01 được chốt và contract/fixture staging sẵn sàng từ 26/10. Chưa chạy.</x:v>
      </x:c>
      <x:c r="R6" s="21" t="str">
        <x:v>TBD – endpoint QR/Rewards chưa có trên OpenAPI staging</x:v>
      </x:c>
      <x:c r="S6" s="21" t="str">
        <x:v>Chưa có</x:v>
      </x:c>
      <x:c r="T6" s="21" t="str">
        <x:v>Pos System BRD(2), High Level Requirements(2), 18/10/2026; staging /version 972b94294fe1</x:v>
      </x:c>
      <x:c r="U6" s="21" t="str">
        <x:v>Gate: Token+fixture; RFI: QR-RFI-01</x:v>
      </x:c>
      <x:c r="V6" s="22"/>
      <x:c r="W6" s="22"/>
    </x:row>
    <x:row r="7" ht="78" customHeight="1">
      <x:c r="A7" s="21" t="str">
        <x:v>QR-004</x:v>
      </x:c>
      <x:c r="B7" s="21" t="str">
        <x:v>Token hết hạn/thu hồi/sai</x:v>
      </x:c>
      <x:c r="C7" s="21" t="str">
        <x:v>QR Ordering</x:v>
      </x:c>
      <x:c r="D7" s="21" t="str">
        <x:v>Critical</x:v>
      </x:c>
      <x:c r="E7" s="21" t="str">
        <x:v>High</x:v>
      </x:c>
      <x:c r="F7" s="21" t="str">
        <x:v>Negative / security</x:v>
      </x:c>
      <x:c r="G7" s="21" t="str">
        <x:v>Staging/FE đúng baseline; table_session và QR QA cô lập. Có TTL+contract và dữ liệu/bàn đối chứng cần thiết trước khi chạy.</x:v>
      </x:c>
      <x:c r="H7" s="21" t="str">
        <x:v>1. Tạo ba token QA: expired, revoked, malformed.
2. Mở menu, rồi thử submit nếu giao diện cho phép.
3. Đối chiếu số phiên/đơn/ticket trước và sau.</x:v>
      </x:c>
      <x:c r="I7" s="21" t="str">
        <x:v>Dùng token hết hạn, không tồn tại và bị thu hồi; mở menu rồi thử gửi nếu UI cho phép.</x:v>
      </x:c>
      <x:c r="J7" s="21" t="str">
        <x:v>Hiển thị hướng dẫn rõ để gọi nhân viên/quét lại; không tạo phiên, đơn hay phiếu bếp mới. Mã lỗi cụ thể chờ contract.</x:v>
      </x:c>
      <x:c r="K7" s="22"/>
      <x:c r="L7" s="22" t="str">
        <x:v>Not Executed</x:v>
      </x:c>
      <x:c r="M7" s="22"/>
      <x:c r="N7" s="22"/>
      <x:c r="O7" s="21" t="str">
        <x:v>QR-HL-005</x:v>
      </x:c>
      <x:c r="P7" s="21" t="str">
        <x:v>Không</x:v>
      </x:c>
      <x:c r="Q7" s="21" t="str">
        <x:v>Gate: TTL+contract; Owner: PO/BE; mở khi QR-RFI-01 được chốt và contract/fixture staging sẵn sàng từ 26/10. Chưa chạy.</x:v>
      </x:c>
      <x:c r="R7" s="21" t="str">
        <x:v>TBD – endpoint QR/Rewards chưa có trên OpenAPI staging</x:v>
      </x:c>
      <x:c r="S7" s="21" t="str">
        <x:v>Chưa có</x:v>
      </x:c>
      <x:c r="T7" s="21" t="str">
        <x:v>Pos System BRD(2), High Level Requirements(2), 18/10/2026; staging /version 972b94294fe1</x:v>
      </x:c>
      <x:c r="U7" s="21" t="str">
        <x:v>Gate: TTL+contract; RFI: QR-RFI-01</x:v>
      </x:c>
      <x:c r="V7" s="22"/>
      <x:c r="W7" s="22"/>
    </x:row>
    <x:row r="8" ht="78" customHeight="1">
      <x:c r="A8" s="21" t="str">
        <x:v>QR-005</x:v>
      </x:c>
      <x:c r="B8" s="21" t="str">
        <x:v>Tấm QR đặt nhầm bàn</x:v>
      </x:c>
      <x:c r="C8" s="21" t="str">
        <x:v>QR Ordering</x:v>
      </x:c>
      <x:c r="D8" s="21" t="str">
        <x:v>High</x:v>
      </x:c>
      <x:c r="E8" s="21" t="str">
        <x:v>Medium</x:v>
      </x:c>
      <x:c r="F8" s="21" t="str">
        <x:v>Operational edge</x:v>
      </x:c>
      <x:c r="G8" s="21" t="str">
        <x:v>Staging/FE đúng baseline; table_session và QR QA cô lập. Có FE+quy trình và dữ liệu/bàn đối chứng cần thiết trước khi chạy.</x:v>
      </x:c>
      <x:c r="H8" s="21" t="str">
        <x:v>1. Dán QR hợp lệ của bàn A ở bàn B trong diễn tập QA.
2. Khách quét và xem tên/mã bàn trước khi submit.
3. Đối chiếu mapping thực và quy trình nhân viên xử lý.</x:v>
      </x:c>
      <x:c r="I8" s="21" t="str">
        <x:v>Khách quét tấm QR hợp lệ nhưng được đặt nhầm ở bàn khác.</x:v>
      </x:c>
      <x:c r="J8" s="21" t="str">
        <x:v>Hệ thống gắn theo bàn đã mã hóa trên QR; UI hiển thị mã bàn để khách kiểm tra và nhân viên xử lý nhầm bàn; không tự đoán vị trí.</x:v>
      </x:c>
      <x:c r="K8" s="22"/>
      <x:c r="L8" s="22" t="str">
        <x:v>Not Executed</x:v>
      </x:c>
      <x:c r="M8" s="22"/>
      <x:c r="N8" s="22"/>
      <x:c r="O8" s="21" t="str">
        <x:v>BRD QR edge case</x:v>
      </x:c>
      <x:c r="P8" s="21" t="str">
        <x:v>Không</x:v>
      </x:c>
      <x:c r="Q8" s="21" t="str">
        <x:v>Gate: FE+quy trình; Owner: PO/BE; mở khi QR-RFI-01 được chốt và contract/fixture staging sẵn sàng từ 26/10. Chưa chạy.</x:v>
      </x:c>
      <x:c r="R8" s="21" t="str">
        <x:v>TBD – endpoint QR/Rewards chưa có trên OpenAPI staging</x:v>
      </x:c>
      <x:c r="S8" s="21" t="str">
        <x:v>Chưa có</x:v>
      </x:c>
      <x:c r="T8" s="21" t="str">
        <x:v>Pos System BRD(2), High Level Requirements(2), 18/10/2026; staging /version 972b94294fe1</x:v>
      </x:c>
      <x:c r="U8" s="21" t="str">
        <x:v>Gate: FE+quy trình; RFI: QR-RFI-01</x:v>
      </x:c>
      <x:c r="V8" s="22"/>
      <x:c r="W8" s="22"/>
    </x:row>
    <x:row r="9" ht="78" customHeight="1">
      <x:c r="A9" s="21" t="str">
        <x:v>QR-006</x:v>
      </x:c>
      <x:c r="B9" s="21" t="str">
        <x:v>Không thể chọn món hết hàng</x:v>
      </x:c>
      <x:c r="C9" s="21" t="str">
        <x:v>QR Ordering</x:v>
      </x:c>
      <x:c r="D9" s="21" t="str">
        <x:v>Critical</x:v>
      </x:c>
      <x:c r="E9" s="21" t="str">
        <x:v>High</x:v>
      </x:c>
      <x:c r="F9" s="21" t="str">
        <x:v>Availability</x:v>
      </x:c>
      <x:c r="G9" s="21" t="str">
        <x:v>Staging/FE đúng baseline; table_session và QR QA cô lập. Có Menu+FE và dữ liệu/bàn đối chứng cần thiết trước khi chạy.</x:v>
      </x:c>
      <x:c r="H9" s="21" t="str">
        <x:v>1. Chuẩn bị một món available và một món unavailable.
2. Mở menu QR, tìm hai món và thử thêm món unavailable.
3. Đối chiếu menu, giỏ và trạng thái server.</x:v>
      </x:c>
      <x:c r="I9" s="21" t="str">
        <x:v>Một món QA còn hàng, một món đã tắt bán; mở menu QR và tìm cả hai.</x:v>
      </x:c>
      <x:c r="J9" s="21" t="str">
        <x:v>Món hết hàng không thể chọn/gửi; món còn hàng hiển thị đúng giá và trạng thái.</x:v>
      </x:c>
      <x:c r="K9" s="22"/>
      <x:c r="L9" s="22" t="str">
        <x:v>Not Executed</x:v>
      </x:c>
      <x:c r="M9" s="22"/>
      <x:c r="N9" s="22"/>
      <x:c r="O9" s="21" t="str">
        <x:v>BR-QR-007; QR-HL-004</x:v>
      </x:c>
      <x:c r="P9" s="21" t="str">
        <x:v>Không</x:v>
      </x:c>
      <x:c r="Q9" s="21" t="str">
        <x:v>Gate: Menu+FE; Owner: PO/BE; mở khi QR-RFI-05 được chốt và contract/fixture staging sẵn sàng từ 26/10. Chưa chạy.</x:v>
      </x:c>
      <x:c r="R9" s="21" t="str">
        <x:v>TBD – endpoint QR/Rewards chưa có trên OpenAPI staging</x:v>
      </x:c>
      <x:c r="S9" s="21" t="str">
        <x:v>Chưa có</x:v>
      </x:c>
      <x:c r="T9" s="21" t="str">
        <x:v>Pos System BRD(2), High Level Requirements(2), 18/10/2026; staging /version 972b94294fe1</x:v>
      </x:c>
      <x:c r="U9" s="21" t="str">
        <x:v>Gate: Menu+FE; RFI: QR-RFI-05</x:v>
      </x:c>
      <x:c r="V9" s="22"/>
      <x:c r="W9" s="22"/>
    </x:row>
    <x:row r="10" ht="78" customHeight="1">
      <x:c r="A10" s="21" t="str">
        <x:v>QR-007</x:v>
      </x:c>
      <x:c r="B10" s="21" t="str">
        <x:v>Hết hàng ngay lúc checkout</x:v>
      </x:c>
      <x:c r="C10" s="21" t="str">
        <x:v>QR Ordering</x:v>
      </x:c>
      <x:c r="D10" s="21" t="str">
        <x:v>Critical</x:v>
      </x:c>
      <x:c r="E10" s="21" t="str">
        <x:v>High</x:v>
      </x:c>
      <x:c r="F10" s="21" t="str">
        <x:v>Race / rollback</x:v>
      </x:c>
      <x:c r="G10" s="21" t="str">
        <x:v>Staging/FE đúng baseline; table_session và QR QA cô lập. Có Race fixture và dữ liệu/bàn đối chứng cần thiết trước khi chạy.</x:v>
      </x:c>
      <x:c r="H10" s="21" t="str">
        <x:v>1. Đặt món available vào giỏ QR.
2. Supervisor tắt bán món; khách bấm Place Order.
3. Đọc giỏ, order và ticket sau phản hồi.</x:v>
      </x:c>
      <x:c r="I10" s="21" t="str">
        <x:v>Cho món vào giỏ khi còn hàng, Supervisor tắt bán trước khi khách bấm gửi.</x:v>
      </x:c>
      <x:c r="J10" s="21" t="str">
        <x:v>Server từ chối chính món đã hết; UI chỉ rõ món lỗi, giữ phần giỏ còn hợp lệ; không tạo đơn/phiếu bếp nửa chừng.</x:v>
      </x:c>
      <x:c r="K10" s="22"/>
      <x:c r="L10" s="22" t="str">
        <x:v>Not Executed</x:v>
      </x:c>
      <x:c r="M10" s="22"/>
      <x:c r="N10" s="22"/>
      <x:c r="O10" s="21" t="str">
        <x:v>BR-QR-007; INV-HL-011</x:v>
      </x:c>
      <x:c r="P10" s="21" t="str">
        <x:v>Không</x:v>
      </x:c>
      <x:c r="Q10" s="21" t="str">
        <x:v>Gate: Race fixture; Owner: PO/BE; mở khi QR-RFI-05 được chốt và contract/fixture staging sẵn sàng từ 26/10. Chưa chạy.</x:v>
      </x:c>
      <x:c r="R10" s="21" t="str">
        <x:v>TBD – endpoint QR/Rewards chưa có trên OpenAPI staging</x:v>
      </x:c>
      <x:c r="S10" s="21" t="str">
        <x:v>Chưa có</x:v>
      </x:c>
      <x:c r="T10" s="21" t="str">
        <x:v>Pos System BRD(2), High Level Requirements(2), 18/10/2026; staging /version 972b94294fe1</x:v>
      </x:c>
      <x:c r="U10" s="21" t="str">
        <x:v>Gate: Race fixture; RFI: QR-RFI-05</x:v>
      </x:c>
      <x:c r="V10" s="22"/>
      <x:c r="W10" s="22"/>
    </x:row>
    <x:row r="11" ht="78" customHeight="1">
      <x:c r="A11" s="21" t="str">
        <x:v>QR-008</x:v>
      </x:c>
      <x:c r="B11" s="21" t="str">
        <x:v>Hai khách chung một bàn</x:v>
      </x:c>
      <x:c r="C11" s="21" t="str">
        <x:v>QR Ordering</x:v>
      </x:c>
      <x:c r="D11" s="21" t="str">
        <x:v>Critical</x:v>
      </x:c>
      <x:c r="E11" s="21" t="str">
        <x:v>High</x:v>
      </x:c>
      <x:c r="F11" s="21" t="str">
        <x:v>Concurrency</x:v>
      </x:c>
      <x:c r="G11" s="21" t="str">
        <x:v>Staging/FE đúng baseline; table_session và QR QA cô lập. Có Concurrency và dữ liệu/bàn đối chứng cần thiết trước khi chạy.</x:v>
      </x:c>
      <x:c r="H11" s="21" t="str">
        <x:v>1. Mở một phiên QA; hai trình duyệt cùng QR, mỗi bên một món.
2. Bấm gửi gần đồng thời từ cả hai.
3. Đọc table_session, hai đơn/dòng, bill và Queue.</x:v>
      </x:c>
      <x:c r="I11" s="21" t="str">
        <x:v>Hai thiết bị khách dùng cùng QR và gửi gần đồng thời, mỗi thiết bị một dòng món riêng.</x:v>
      </x:c>
      <x:c r="J11" s="21" t="str">
        <x:v>Một table_session hoạt động; cả hai dòng còn nguyên và truy xuất được; không tự gộp số lượng hay ghi đè.</x:v>
      </x:c>
      <x:c r="K11" s="22"/>
      <x:c r="L11" s="22" t="str">
        <x:v>Not Executed</x:v>
      </x:c>
      <x:c r="M11" s="22"/>
      <x:c r="N11" s="22"/>
      <x:c r="O11" s="21" t="str">
        <x:v>BR-OM-MRG-001/002/005</x:v>
      </x:c>
      <x:c r="P11" s="21" t="str">
        <x:v>Không</x:v>
      </x:c>
      <x:c r="Q11" s="21" t="str">
        <x:v>Gate: Concurrency; Owner: BE; mở khi QR-RFI-04 được chốt và contract/fixture staging sẵn sàng từ 26/10. Chưa chạy.</x:v>
      </x:c>
      <x:c r="R11" s="21" t="str">
        <x:v>TBD – endpoint QR/Rewards chưa có trên OpenAPI staging</x:v>
      </x:c>
      <x:c r="S11" s="21" t="str">
        <x:v>Chưa có</x:v>
      </x:c>
      <x:c r="T11" s="21" t="str">
        <x:v>Pos System BRD(2), High Level Requirements(2), 18/10/2026; staging /version 972b94294fe1</x:v>
      </x:c>
      <x:c r="U11" s="21" t="str">
        <x:v>Gate: Concurrency; RFI: QR-RFI-04</x:v>
      </x:c>
      <x:c r="V11" s="22"/>
      <x:c r="W11" s="22"/>
    </x:row>
    <x:row r="12" ht="78" customHeight="1">
      <x:c r="A12" s="21" t="str">
        <x:v>QR-009</x:v>
      </x:c>
      <x:c r="B12" s="21" t="str">
        <x:v>POS và QR cùng thêm món</x:v>
      </x:c>
      <x:c r="C12" s="21" t="str">
        <x:v>QR Ordering</x:v>
      </x:c>
      <x:c r="D12" s="21" t="str">
        <x:v>Critical</x:v>
      </x:c>
      <x:c r="E12" s="21" t="str">
        <x:v>High</x:v>
      </x:c>
      <x:c r="F12" s="21" t="str">
        <x:v>Concurrency / merge</x:v>
      </x:c>
      <x:c r="G12" s="21" t="str">
        <x:v>Staging/FE đúng baseline; table_session và QR QA cô lập. Có POS+QR và dữ liệu/bàn đối chứng cần thiết trước khi chạy.</x:v>
      </x:c>
      <x:c r="H12" s="21" t="str">
        <x:v>1. Waiter và khách dùng cùng phiên QA.
2. Waiter gửi món POS và khách gửi món QR gần đồng thời.
3. Đối chiếu source, version, subtotal và Queue.</x:v>
      </x:c>
      <x:c r="I12" s="21" t="str">
        <x:v>Waiter thêm món POS vào phiên đang mở đồng thời khách gửi QR.</x:v>
      </x:c>
      <x:c r="J12" s="21" t="str">
        <x:v>Nguồn POS/QR truy vết riêng; cùng table_session và tổng tiền đúng; phiên bản không làm mất món của bên nào.</x:v>
      </x:c>
      <x:c r="K12" s="22"/>
      <x:c r="L12" s="22" t="str">
        <x:v>Not Executed</x:v>
      </x:c>
      <x:c r="M12" s="22"/>
      <x:c r="N12" s="22"/>
      <x:c r="O12" s="21" t="str">
        <x:v>BR-QR-009; BR-OM-MRG-002/004</x:v>
      </x:c>
      <x:c r="P12" s="21" t="str">
        <x:v>Không</x:v>
      </x:c>
      <x:c r="Q12" s="21" t="str">
        <x:v>Gate: POS+QR; Owner: BE; mở khi QR-RFI-04 được chốt và contract/fixture staging sẵn sàng từ 26/10. Chưa chạy.</x:v>
      </x:c>
      <x:c r="R12" s="21" t="str">
        <x:v>TBD – endpoint QR/Rewards chưa có trên OpenAPI staging</x:v>
      </x:c>
      <x:c r="S12" s="21" t="str">
        <x:v>Chưa có</x:v>
      </x:c>
      <x:c r="T12" s="21" t="str">
        <x:v>Pos System BRD(2), High Level Requirements(2), 18/10/2026; staging /version 972b94294fe1</x:v>
      </x:c>
      <x:c r="U12" s="21" t="str">
        <x:v>Gate: POS+QR; RFI: QR-RFI-04</x:v>
      </x:c>
      <x:c r="V12" s="22"/>
      <x:c r="W12" s="22"/>
    </x:row>
    <x:row r="13" ht="78" customHeight="1">
      <x:c r="A13" s="21" t="str">
        <x:v>QR-010</x:v>
      </x:c>
      <x:c r="B13" s="21" t="str">
        <x:v>Double tap cùng request_id</x:v>
      </x:c>
      <x:c r="C13" s="21" t="str">
        <x:v>QR Ordering</x:v>
      </x:c>
      <x:c r="D13" s="21" t="str">
        <x:v>Critical</x:v>
      </x:c>
      <x:c r="E13" s="21" t="str">
        <x:v>High</x:v>
      </x:c>
      <x:c r="F13" s="21" t="str">
        <x:v>Idempotency</x:v>
      </x:c>
      <x:c r="G13" s="21" t="str">
        <x:v>Staging/FE đúng baseline; table_session và QR QA cô lập. Có Idempotency và dữ liệu/bàn đối chứng cần thiết trước khi chạy.</x:v>
      </x:c>
      <x:c r="H13" s="21" t="str">
        <x:v>1. Tạo giỏ QA và một request_id duy nhất.
2. Gửi cùng body gần đồng thời hai lần.
3. Đếm order/item/ticket và tiền; đối chiếu phản hồi.</x:v>
      </x:c>
      <x:c r="I13" s="21" t="str">
        <x:v>Bấm Place Order hai lần với cùng request_id và body trên hai kết nối.</x:v>
      </x:c>
      <x:c r="J13" s="21" t="str">
        <x:v>Chỉ một tác động: không trùng order item, phiếu bếp hay tiền; phản hồi replay theo contract.</x:v>
      </x:c>
      <x:c r="K13" s="22"/>
      <x:c r="L13" s="22" t="str">
        <x:v>Not Executed</x:v>
      </x:c>
      <x:c r="M13" s="22"/>
      <x:c r="N13" s="22"/>
      <x:c r="O13" s="21" t="str">
        <x:v>BR-QR-005; BR-OM-VER-006</x:v>
      </x:c>
      <x:c r="P13" s="21" t="str">
        <x:v>Không</x:v>
      </x:c>
      <x:c r="Q13" s="21" t="str">
        <x:v>Gate: Idempotency; Owner: BE; mở khi QR-RFI-04 được chốt và contract/fixture staging sẵn sàng từ 26/10. Chưa chạy.</x:v>
      </x:c>
      <x:c r="R13" s="21" t="str">
        <x:v>TBD – endpoint QR/Rewards chưa có trên OpenAPI staging</x:v>
      </x:c>
      <x:c r="S13" s="21" t="str">
        <x:v>Chưa có</x:v>
      </x:c>
      <x:c r="T13" s="21" t="str">
        <x:v>Pos System BRD(2), High Level Requirements(2), 18/10/2026; staging /version 972b94294fe1</x:v>
      </x:c>
      <x:c r="U13" s="21" t="str">
        <x:v>Gate: Idempotency; RFI: QR-RFI-04</x:v>
      </x:c>
      <x:c r="V13" s="22"/>
      <x:c r="W13" s="22"/>
    </x:row>
    <x:row r="14" ht="78" customHeight="1">
      <x:c r="A14" s="21" t="str">
        <x:v>QR-011</x:v>
      </x:c>
      <x:c r="B14" s="21" t="str">
        <x:v>Cùng request_id, khác body</x:v>
      </x:c>
      <x:c r="C14" s="21" t="str">
        <x:v>QR Ordering</x:v>
      </x:c>
      <x:c r="D14" s="21" t="str">
        <x:v>Critical</x:v>
      </x:c>
      <x:c r="E14" s="21" t="str">
        <x:v>High</x:v>
      </x:c>
      <x:c r="F14" s="21" t="str">
        <x:v>Negative / idempotency</x:v>
      </x:c>
      <x:c r="G14" s="21" t="str">
        <x:v>Staging/FE đúng baseline; table_session và QR QA cô lập. Có Idempotency và dữ liệu/bàn đối chứng cần thiết trước khi chạy.</x:v>
      </x:c>
      <x:c r="H14" s="21" t="str">
        <x:v>1. Gửi giỏ A thành công với request_id QA.
2. Gửi lại cùng request_id với quantity/menu khác.
3. Đọc trạng thái và số phiên bản/ticket.</x:v>
      </x:c>
      <x:c r="I14" s="21" t="str">
        <x:v>Gửi lại cùng request_id nhưng đổi số lượng/món.</x:v>
      </x:c>
      <x:c r="J14" s="21" t="str">
        <x:v>Từ chối xung đột; dữ liệu lần đầu giữ nguyên, không thêm phiên bản/phiếu/tổng tiền ngoài ý muốn.</x:v>
      </x:c>
      <x:c r="K14" s="22"/>
      <x:c r="L14" s="22" t="str">
        <x:v>Not Executed</x:v>
      </x:c>
      <x:c r="M14" s="22"/>
      <x:c r="N14" s="22"/>
      <x:c r="O14" s="21" t="str">
        <x:v>BR-QR-005</x:v>
      </x:c>
      <x:c r="P14" s="21" t="str">
        <x:v>Không</x:v>
      </x:c>
      <x:c r="Q14" s="21" t="str">
        <x:v>Gate: Idempotency; Owner: BE; mở khi QR-RFI-04 được chốt và contract/fixture staging sẵn sàng từ 26/10. Chưa chạy.</x:v>
      </x:c>
      <x:c r="R14" s="21" t="str">
        <x:v>TBD – endpoint QR/Rewards chưa có trên OpenAPI staging</x:v>
      </x:c>
      <x:c r="S14" s="21" t="str">
        <x:v>Chưa có</x:v>
      </x:c>
      <x:c r="T14" s="21" t="str">
        <x:v>Pos System BRD(2), High Level Requirements(2), 18/10/2026; staging /version 972b94294fe1</x:v>
      </x:c>
      <x:c r="U14" s="21" t="str">
        <x:v>Gate: Idempotency; RFI: QR-RFI-04</x:v>
      </x:c>
      <x:c r="V14" s="22"/>
      <x:c r="W14" s="22"/>
    </x:row>
    <x:row r="15" ht="78" customHeight="1">
      <x:c r="A15" s="21" t="str">
        <x:v>QR-012</x:v>
      </x:c>
      <x:c r="B15" s="21" t="str">
        <x:v>Mất mạng và retry</x:v>
      </x:c>
      <x:c r="C15" s="21" t="str">
        <x:v>QR Ordering</x:v>
      </x:c>
      <x:c r="D15" s="21" t="str">
        <x:v>Critical</x:v>
      </x:c>
      <x:c r="E15" s="21" t="str">
        <x:v>High</x:v>
      </x:c>
      <x:c r="F15" s="21" t="str">
        <x:v>Recovery</x:v>
      </x:c>
      <x:c r="G15" s="21" t="str">
        <x:v>Staging/FE đúng baseline; table_session và QR QA cô lập. Có Network và dữ liệu/bàn đối chứng cần thiết trước khi chạy.</x:v>
      </x:c>
      <x:c r="H15" s="21" t="str">
        <x:v>1. Tạo giỏ và request_id QA.
2. Ngắt mạng ở hai thời điểm: sau request tới server, trước request tới server; retry cùng định danh.
3. Đọc kết quả cuối qua GET/order và UI.</x:v>
      </x:c>
      <x:c r="I15" s="21" t="str">
        <x:v>Làm rớt mạng sau khi request có thể đã tới server; bật lại và retry cùng định danh; làm thêm kịch bản request chưa tới server.</x:v>
      </x:c>
      <x:c r="J15" s="21" t="str">
        <x:v>Không gửi trùng; nếu request đầu chưa tới thì hoàn tất đúng một lần; UI có trạng thái chờ/thử lại rõ ràng.</x:v>
      </x:c>
      <x:c r="K15" s="22"/>
      <x:c r="L15" s="22" t="str">
        <x:v>Not Executed</x:v>
      </x:c>
      <x:c r="M15" s="22"/>
      <x:c r="N15" s="22"/>
      <x:c r="O15" s="21" t="str">
        <x:v>BR-QR-010</x:v>
      </x:c>
      <x:c r="P15" s="21" t="str">
        <x:v>Không</x:v>
      </x:c>
      <x:c r="Q15" s="21" t="str">
        <x:v>Gate: Network; Owner: BE; mở khi QR-RFI-04 được chốt và contract/fixture staging sẵn sàng từ 26/10. Chưa chạy.</x:v>
      </x:c>
      <x:c r="R15" s="21" t="str">
        <x:v>TBD – endpoint QR/Rewards chưa có trên OpenAPI staging</x:v>
      </x:c>
      <x:c r="S15" s="21" t="str">
        <x:v>Chưa có</x:v>
      </x:c>
      <x:c r="T15" s="21" t="str">
        <x:v>Pos System BRD(2), High Level Requirements(2), 18/10/2026; staging /version 972b94294fe1</x:v>
      </x:c>
      <x:c r="U15" s="21" t="str">
        <x:v>Gate: Network; RFI: QR-RFI-04</x:v>
      </x:c>
      <x:c r="V15" s="22"/>
      <x:c r="W15" s="22"/>
    </x:row>
    <x:row r="16" ht="78" customHeight="1">
      <x:c r="A16" s="21" t="str">
        <x:v>QR-013</x:v>
      </x:c>
      <x:c r="B16" s="21" t="str">
        <x:v>Khách không sửa đơn sau submit</x:v>
      </x:c>
      <x:c r="C16" s="21" t="str">
        <x:v>QR Ordering</x:v>
      </x:c>
      <x:c r="D16" s="21" t="str">
        <x:v>Critical</x:v>
      </x:c>
      <x:c r="E16" s="21" t="str">
        <x:v>High</x:v>
      </x:c>
      <x:c r="F16" s="21" t="str">
        <x:v>Authorization</x:v>
      </x:c>
      <x:c r="G16" s="21" t="str">
        <x:v>Staging/FE đúng baseline; table_session và QR QA cô lập. Có RBAC+FE và dữ liệu/bàn đối chứng cần thiết trước khi chạy.</x:v>
      </x:c>
      <x:c r="H16" s="21" t="str">
        <x:v>1. Gửi QR thành công.
2. Thử sửa/xóa item bằng UI khách và API public.
3. Kiểm GET/order/audit sau cả hai thao tác.</x:v>
      </x:c>
      <x:c r="I16" s="21" t="str">
        <x:v>Sau khi QR gửi thành công, mở lại màn khách và thử sửa/xóa dòng đã gửi bằng UI và API khách.</x:v>
      </x:c>
      <x:c r="J16" s="21" t="str">
        <x:v>Khách không sửa đơn đã gửi; thay đổi chỉ theo luồng nhân viên được cấp quyền, lưu audit khi cần.</x:v>
      </x:c>
      <x:c r="K16" s="22"/>
      <x:c r="L16" s="22" t="str">
        <x:v>Not Executed</x:v>
      </x:c>
      <x:c r="M16" s="22"/>
      <x:c r="N16" s="22"/>
      <x:c r="O16" s="21" t="str">
        <x:v>BR-QR-008</x:v>
      </x:c>
      <x:c r="P16" s="21" t="str">
        <x:v>Không</x:v>
      </x:c>
      <x:c r="Q16" s="21" t="str">
        <x:v>Gate: RBAC+FE; Owner: BE; mở khi QR-RFI-04 được chốt và contract/fixture staging sẵn sàng từ 26/10. Chưa chạy.</x:v>
      </x:c>
      <x:c r="R16" s="21" t="str">
        <x:v>TBD – endpoint QR/Rewards chưa có trên OpenAPI staging</x:v>
      </x:c>
      <x:c r="S16" s="21" t="str">
        <x:v>Chưa có</x:v>
      </x:c>
      <x:c r="T16" s="21" t="str">
        <x:v>Pos System BRD(2), High Level Requirements(2), 18/10/2026; staging /version 972b94294fe1</x:v>
      </x:c>
      <x:c r="U16" s="21" t="str">
        <x:v>Gate: RBAC+FE; RFI: QR-RFI-04</x:v>
      </x:c>
      <x:c r="V16" s="22"/>
      <x:c r="W16" s="22"/>
    </x:row>
    <x:row r="17" ht="78" customHeight="1">
      <x:c r="A17" s="21" t="str">
        <x:v>QR-014</x:v>
      </x:c>
      <x:c r="B17" s="21" t="str">
        <x:v>Billing khóa QR submit</x:v>
      </x:c>
      <x:c r="C17" s="21" t="str">
        <x:v>QR Ordering</x:v>
      </x:c>
      <x:c r="D17" s="21" t="str">
        <x:v>Critical</x:v>
      </x:c>
      <x:c r="E17" s="21" t="str">
        <x:v>High</x:v>
      </x:c>
      <x:c r="F17" s="21" t="str">
        <x:v>State transition</x:v>
      </x:c>
      <x:c r="G17" s="21" t="str">
        <x:v>Staging/FE đúng baseline; table_session và QR QA cô lập. Có Billing và dữ liệu/bàn đối chứng cần thiết trước khi chạy.</x:v>
      </x:c>
      <x:c r="H17" s="21" t="str">
        <x:v>1. Gửi một đơn QR hợp lệ.
2. Cashier request billing; khách dùng giỏ cũ hoặc mới để gửi thêm.
3. Đọc bill/order và trạng thái phiên.</x:v>
      </x:c>
      <x:c r="I17" s="21" t="str">
        <x:v>Cashier request billing trên phiên có đơn QR; sau đó khách gửi thêm QR mới/giỏ cũ.</x:v>
      </x:c>
      <x:c r="J17" s="21" t="str">
        <x:v>QR submit bị chặn khi bắt đầu Billing; bill không thiếu hoặc thêm món ngoài thời điểm khóa.</x:v>
      </x:c>
      <x:c r="K17" s="22"/>
      <x:c r="L17" s="22" t="str">
        <x:v>Not Executed</x:v>
      </x:c>
      <x:c r="M17" s="22"/>
      <x:c r="N17" s="22"/>
      <x:c r="O17" s="21" t="str">
        <x:v>BR-OM-MRG-009; SRS BR-006</x:v>
      </x:c>
      <x:c r="P17" s="21" t="str">
        <x:v>Không</x:v>
      </x:c>
      <x:c r="Q17" s="21" t="str">
        <x:v>Gate: Billing; Owner: BE; mở khi QR-RFI-04 được chốt và contract/fixture staging sẵn sàng từ 26/10. Chưa chạy.</x:v>
      </x:c>
      <x:c r="R17" s="21" t="str">
        <x:v>TBD – endpoint QR/Rewards chưa có trên OpenAPI staging</x:v>
      </x:c>
      <x:c r="S17" s="21" t="str">
        <x:v>Chưa có</x:v>
      </x:c>
      <x:c r="T17" s="21" t="str">
        <x:v>Pos System BRD(2), High Level Requirements(2), 18/10/2026; staging /version 972b94294fe1</x:v>
      </x:c>
      <x:c r="U17" s="21" t="str">
        <x:v>Gate: Billing; RFI: QR-RFI-04</x:v>
      </x:c>
      <x:c r="V17" s="22"/>
      <x:c r="W17" s="22"/>
    </x:row>
    <x:row r="18" ht="78" customHeight="1">
      <x:c r="A18" s="21" t="str">
        <x:v>QR-015</x:v>
      </x:c>
      <x:c r="B18" s="21" t="str">
        <x:v>Chỉ món SENT tới đúng trạm bếp</x:v>
      </x:c>
      <x:c r="C18" s="21" t="str">
        <x:v>QR Ordering</x:v>
      </x:c>
      <x:c r="D18" s="21" t="str">
        <x:v>Critical</x:v>
      </x:c>
      <x:c r="E18" s="21" t="str">
        <x:v>High</x:v>
      </x:c>
      <x:c r="F18" s="21" t="str">
        <x:v>KDS routing</x:v>
      </x:c>
      <x:c r="G18" s="21" t="str">
        <x:v>Staging/FE đúng baseline; table_session và QR QA cô lập. Có KDS+WS và dữ liệu/bàn đối chứng cần thiết trước khi chạy.</x:v>
      </x:c>
      <x:c r="H18" s="21" t="str">
        <x:v>1. Chọn hai món QA có station khác nhau.
2. Gửi QR và ghi trạng thái CREATED/SENT qua từng bước theo send mode.
3. Đọc Queue theo từng station, so ticket và item.</x:v>
      </x:c>
      <x:c r="I18" s="21" t="str">
        <x:v>Tạo giỏ QR nhiều món thuộc hai trạm; đối chiếu order items và Kitchen Queue sau khi submit.</x:v>
      </x:c>
      <x:c r="J18" s="21" t="str">
        <x:v>Chỉ item SENT mới có ticket; đúng station_id, không trùng; KDS/POS cập nhật theo SLA đã chốt.</x:v>
      </x:c>
      <x:c r="K18" s="22"/>
      <x:c r="L18" s="22" t="str">
        <x:v>Not Executed</x:v>
      </x:c>
      <x:c r="M18" s="22"/>
      <x:c r="N18" s="22"/>
      <x:c r="O18" s="21" t="str">
        <x:v>BR-QR-006; BR-OM-MRG-003</x:v>
      </x:c>
      <x:c r="P18" s="21" t="str">
        <x:v>Không</x:v>
      </x:c>
      <x:c r="Q18" s="21" t="str">
        <x:v>Gate: KDS+WS; Owner: BE; mở khi QR-RFI-04 được chốt và contract/fixture staging sẵn sàng từ 26/10. Chưa chạy.</x:v>
      </x:c>
      <x:c r="R18" s="21" t="str">
        <x:v>TBD – endpoint QR/Rewards chưa có trên OpenAPI staging</x:v>
      </x:c>
      <x:c r="S18" s="21" t="str">
        <x:v>Chưa có</x:v>
      </x:c>
      <x:c r="T18" s="21" t="str">
        <x:v>Pos System BRD(2), High Level Requirements(2), 18/10/2026; staging /version 972b94294fe1</x:v>
      </x:c>
      <x:c r="U18" s="21" t="str">
        <x:v>Gate: KDS+WS; RFI: QR-RFI-04</x:v>
      </x:c>
      <x:c r="V18" s="22"/>
      <x:c r="W18" s="22"/>
    </x:row>
    <x:row r="19" ht="78" customHeight="1">
      <x:c r="A19" s="21" t="str">
        <x:v>QR-016</x:v>
      </x:c>
      <x:c r="B19" s="21" t="str">
        <x:v>Modifier và ghi chú qua QR</x:v>
      </x:c>
      <x:c r="C19" s="21" t="str">
        <x:v>QR Ordering</x:v>
      </x:c>
      <x:c r="D19" s="21" t="str">
        <x:v>High</x:v>
      </x:c>
      <x:c r="E19" s="21" t="str">
        <x:v>Medium</x:v>
      </x:c>
      <x:c r="F19" s="21" t="str">
        <x:v>Modifier</x:v>
      </x:c>
      <x:c r="G19" s="21" t="str">
        <x:v>Staging/FE đúng baseline; table_session và QR QA cô lập. Có Modifier contract và dữ liệu/bàn đối chứng cần thiết trước khi chạy.</x:v>
      </x:c>
      <x:c r="H19" s="21" t="str">
        <x:v>1. Dùng món QA có size/topping/note được cấu hình.
2. Chọn tùy chỉnh, review cart, gửi QR.
3. Đọc order detail, bill và ticket bếp.</x:v>
      </x:c>
      <x:c r="I19" s="21" t="str">
        <x:v>Chọn món có size/topping/note; thêm và gửi; đối chiếu giỏ, bill, ticket bếp.</x:v>
      </x:c>
      <x:c r="J19" s="21" t="str">
        <x:v>Lựa chọn và đơn giá được giữ nguyên; ticket thể hiện modifier/chỉ dẫn. Chi tiết schema và pricing phải được PO/BE chốt.</x:v>
      </x:c>
      <x:c r="K19" s="22"/>
      <x:c r="L19" s="22" t="str">
        <x:v>Not Executed</x:v>
      </x:c>
      <x:c r="M19" s="22"/>
      <x:c r="N19" s="22"/>
      <x:c r="O19" s="21" t="str">
        <x:v>HLR QR flow; BE-S3-03</x:v>
      </x:c>
      <x:c r="P19" s="21" t="str">
        <x:v>Không</x:v>
      </x:c>
      <x:c r="Q19" s="21" t="str">
        <x:v>Gate: Modifier contract; Owner: PO/BE; mở khi QR-RFI-05 được chốt và contract/fixture staging sẵn sàng từ 26/10. Chưa chạy.</x:v>
      </x:c>
      <x:c r="R19" s="21" t="str">
        <x:v>TBD – endpoint QR/Rewards chưa có trên OpenAPI staging</x:v>
      </x:c>
      <x:c r="S19" s="21" t="str">
        <x:v>Chưa có</x:v>
      </x:c>
      <x:c r="T19" s="21" t="str">
        <x:v>Pos System BRD(2), High Level Requirements(2), 18/10/2026; staging /version 972b94294fe1</x:v>
      </x:c>
      <x:c r="U19" s="21" t="str">
        <x:v>Gate: Modifier contract; RFI: QR-RFI-05</x:v>
      </x:c>
      <x:c r="V19" s="22"/>
      <x:c r="W19" s="22"/>
    </x:row>
    <x:row r="20" ht="78" customHeight="1">
      <x:c r="A20" s="21" t="str">
        <x:v>QR-017</x:v>
      </x:c>
      <x:c r="B20" s="21" t="str">
        <x:v>Trạng thái món theo thời gian thực</x:v>
      </x:c>
      <x:c r="C20" s="21" t="str">
        <x:v>QR Ordering</x:v>
      </x:c>
      <x:c r="D20" s="21" t="str">
        <x:v>High</x:v>
      </x:c>
      <x:c r="E20" s="21" t="str">
        <x:v>Medium</x:v>
      </x:c>
      <x:c r="F20" s="21" t="str">
        <x:v>Real-time</x:v>
      </x:c>
      <x:c r="G20" s="21" t="str">
        <x:v>Staging/FE đúng baseline; table_session và QR QA cô lập. Có FE+WS và dữ liệu/bàn đối chứng cần thiết trước khi chạy.</x:v>
      </x:c>
      <x:c r="H20" s="21" t="str">
        <x:v>1. Gửi QR và mở màn trạng thái trên khách/Waiter.
2. Kitchen Start Cooking, Mark Ready; ngắt và nối lại một client.
3. Đo độ trễ và đối chiếu REST, WS, UI.</x:v>
      </x:c>
      <x:c r="I20" s="21" t="str">
        <x:v>Kitchen Start Cooking → Ready cho món QR; khách/Waiter đang mở màn trạng thái.</x:v>
      </x:c>
      <x:c r="J20" s="21" t="str">
        <x:v>Trạng thái và mã món đúng sau sự kiện và khi reconnect; thời gian cập nhật theo SLA sản phẩm đã phê duyệt.</x:v>
      </x:c>
      <x:c r="K20" s="22"/>
      <x:c r="L20" s="22" t="str">
        <x:v>Not Executed</x:v>
      </x:c>
      <x:c r="M20" s="22"/>
      <x:c r="N20" s="22"/>
      <x:c r="O20" s="21" t="str">
        <x:v>HLR QR live status; KIT-HL-001</x:v>
      </x:c>
      <x:c r="P20" s="21" t="str">
        <x:v>Không</x:v>
      </x:c>
      <x:c r="Q20" s="21" t="str">
        <x:v>Gate: FE+WS; Owner: PO/BE; mở khi QR-RFI-03 được chốt và contract/fixture staging sẵn sàng từ 26/10. Chưa chạy.</x:v>
      </x:c>
      <x:c r="R20" s="21" t="str">
        <x:v>TBD – endpoint QR/Rewards chưa có trên OpenAPI staging</x:v>
      </x:c>
      <x:c r="S20" s="21" t="str">
        <x:v>Chưa có</x:v>
      </x:c>
      <x:c r="T20" s="21" t="str">
        <x:v>Pos System BRD(2), High Level Requirements(2), 18/10/2026; staging /version 972b94294fe1</x:v>
      </x:c>
      <x:c r="U20" s="21" t="str">
        <x:v>Gate: FE+WS; RFI: QR-RFI-03</x:v>
      </x:c>
      <x:c r="V20" s="22"/>
      <x:c r="W20" s="22"/>
    </x:row>
    <x:row r="21" ht="78" customHeight="1">
      <x:c r="A21" s="21" t="str">
        <x:v>QR-018</x:v>
      </x:c>
      <x:c r="B21" s="21" t="str">
        <x:v>QR idle, hết hạn và giữ giỏ</x:v>
      </x:c>
      <x:c r="C21" s="21" t="str">
        <x:v>QR Ordering</x:v>
      </x:c>
      <x:c r="D21" s="21" t="str">
        <x:v>High</x:v>
      </x:c>
      <x:c r="E21" s="21" t="str">
        <x:v>Medium</x:v>
      </x:c>
      <x:c r="F21" s="21" t="str">
        <x:v>Expiry</x:v>
      </x:c>
      <x:c r="G21" s="21" t="str">
        <x:v>Staging/FE đúng baseline; table_session và QR QA cô lập. Có RFI X/TTL và dữ liệu/bàn đối chứng cần thiết trước khi chạy.</x:v>
      </x:c>
      <x:c r="H21" s="21" t="str">
        <x:v>1. Đặt món vào giỏ và ghi thời gian.
2. Chờ token hết hạn/idle X phút theo cấu hình; thử gửi, quét token mới.
3. Kiểm giỏ khôi phục và không sửa phiên cũ.</x:v>
      </x:c>
      <x:c r="I21" s="21" t="str">
        <x:v>Để QR idle tới hạn, giữ giỏ; hết hạn rồi gửi và quét lại QR.</x:v>
      </x:c>
      <x:c r="J21" s="21" t="str">
        <x:v>Có hướng dẫn hết hạn; giỏ được giữ đúng X phút nếu PO duyệt; không cho dùng token hết hạn để sửa phiên cũ.</x:v>
      </x:c>
      <x:c r="K21" s="22"/>
      <x:c r="L21" s="22" t="str">
        <x:v>Not Executed</x:v>
      </x:c>
      <x:c r="M21" s="22"/>
      <x:c r="N21" s="22"/>
      <x:c r="O21" s="21" t="str">
        <x:v>BRD QR edge case: cart X phút</x:v>
      </x:c>
      <x:c r="P21" s="21" t="str">
        <x:v>Không</x:v>
      </x:c>
      <x:c r="Q21" s="21" t="str">
        <x:v>Gate: RFI X/TTL; Owner: PO/BE/FE; mở khi QR-RFI-01, QR-RFI-02 được chốt và contract/fixture staging sẵn sàng từ 26/10. Chưa chạy.</x:v>
      </x:c>
      <x:c r="R21" s="21" t="str">
        <x:v>TBD – endpoint QR/Rewards chưa có trên OpenAPI staging</x:v>
      </x:c>
      <x:c r="S21" s="21" t="str">
        <x:v>Chưa có</x:v>
      </x:c>
      <x:c r="T21" s="21" t="str">
        <x:v>Pos System BRD(2), High Level Requirements(2), 18/10/2026; staging /version 972b94294fe1</x:v>
      </x:c>
      <x:c r="U21" s="21" t="str">
        <x:v>Gate: RFI X/TTL; RFI: QR-RFI-01; QR-RFI-02</x:v>
      </x:c>
      <x:c r="V21" s="22"/>
      <x:c r="W21" s="22"/>
    </x:row>
    <x:row r="22" ht="78" customHeight="1">
      <x:c r="A22" s="21" t="str">
        <x:v>QR-019</x:v>
      </x:c>
      <x:c r="B22" s="21" t="str">
        <x:v>Token giả mạo và truy cập chéo</x:v>
      </x:c>
      <x:c r="C22" s="21" t="str">
        <x:v>QR Ordering</x:v>
      </x:c>
      <x:c r="D22" s="21" t="str">
        <x:v>Critical</x:v>
      </x:c>
      <x:c r="E22" s="21" t="str">
        <x:v>High</x:v>
      </x:c>
      <x:c r="F22" s="21" t="str">
        <x:v>Security</x:v>
      </x:c>
      <x:c r="G22" s="21" t="str">
        <x:v>Staging/FE đúng baseline; table_session và QR QA cô lập. Có Security và dữ liệu/bàn đối chứng cần thiết trước khi chạy.</x:v>
      </x:c>
      <x:c r="H22" s="21" t="str">
        <x:v>1. Có hai bàn/outlet QA và token tương ứng.
2. Sửa token/table_id/order_id để đọc hoặc submit tài nguyên khác.
3. Kiểm phản hồi và xác minh không mutation/PII.</x:v>
      </x:c>
      <x:c r="I22" s="21" t="str">
        <x:v>Sửa token, thay table_id/order_id hoặc dùng QR của outlet khác; thử đọc/submit phiên không thuộc token.</x:v>
      </x:c>
      <x:c r="J22" s="21" t="str">
        <x:v>Không đọc hoặc đổi đơn/bàn khác; không lộ dữ liệu cá nhân; lỗi phù hợp contract.</x:v>
      </x:c>
      <x:c r="K22" s="22"/>
      <x:c r="L22" s="22" t="str">
        <x:v>Not Executed</x:v>
      </x:c>
      <x:c r="M22" s="22"/>
      <x:c r="N22" s="22"/>
      <x:c r="O22" s="21" t="str">
        <x:v>QR-HL-003; security</x:v>
      </x:c>
      <x:c r="P22" s="21" t="str">
        <x:v>Không</x:v>
      </x:c>
      <x:c r="Q22" s="21" t="str">
        <x:v>Gate: Security; Owner: PO/BE; mở khi QR-RFI-01 được chốt và contract/fixture staging sẵn sàng từ 26/10. Chưa chạy.</x:v>
      </x:c>
      <x:c r="R22" s="21" t="str">
        <x:v>TBD – endpoint QR/Rewards chưa có trên OpenAPI staging</x:v>
      </x:c>
      <x:c r="S22" s="21" t="str">
        <x:v>Chưa có</x:v>
      </x:c>
      <x:c r="T22" s="21" t="str">
        <x:v>Pos System BRD(2), High Level Requirements(2), 18/10/2026; staging /version 972b94294fe1</x:v>
      </x:c>
      <x:c r="U22" s="21" t="str">
        <x:v>Gate: Security; RFI: QR-RFI-01</x:v>
      </x:c>
      <x:c r="V22" s="22"/>
      <x:c r="W22" s="22"/>
    </x:row>
    <x:row r="23" ht="78" customHeight="1">
      <x:c r="A23" s="21" t="str">
        <x:v>QR-020</x:v>
      </x:c>
      <x:c r="B23" s="21" t="str">
        <x:v>Bill, source và audit khi gộp</x:v>
      </x:c>
      <x:c r="C23" s="21" t="str">
        <x:v>QR Ordering</x:v>
      </x:c>
      <x:c r="D23" s="21" t="str">
        <x:v>Critical</x:v>
      </x:c>
      <x:c r="E23" s="21" t="str">
        <x:v>High</x:v>
      </x:c>
      <x:c r="F23" s="21" t="str">
        <x:v>Billing / audit</x:v>
      </x:c>
      <x:c r="G23" s="21" t="str">
        <x:v>Staging/FE đúng baseline; table_session và QR QA cô lập. Có Billing+audit và dữ liệu/bàn đối chứng cần thiết trước khi chạy.</x:v>
      </x:c>
      <x:c r="H23" s="21" t="str">
        <x:v>1. Gửi một dòng QR và một dòng POS vào cùng phiên.
2. Gửi bếp, request billing, đọc bill và phiên bản.
3. Đối chiếu subtotal, source, audit và ticket.</x:v>
      </x:c>
      <x:c r="I23" s="21" t="str">
        <x:v>Cho POS và QR mỗi bên một món, gửi bếp, request bill, kiểm tra detail, subtotal, source và audit.</x:v>
      </x:c>
      <x:c r="J23" s="21" t="str">
        <x:v>Bill gồm đúng các món chưa trả của phiên; nguồn gốc từng dòng còn xem được; audit/phiên bản gắn actor/device theo thiết kế đã chốt.</x:v>
      </x:c>
      <x:c r="K23" s="22"/>
      <x:c r="L23" s="22" t="str">
        <x:v>Not Executed</x:v>
      </x:c>
      <x:c r="M23" s="22"/>
      <x:c r="N23" s="22"/>
      <x:c r="O23" s="21" t="str">
        <x:v>BR-OM-MRG-006/008; SRS audit</x:v>
      </x:c>
      <x:c r="P23" s="21" t="str">
        <x:v>Không</x:v>
      </x:c>
      <x:c r="Q23" s="21" t="str">
        <x:v>Gate: Billing+audit; Owner: BE; mở khi QR-RFI-04 được chốt và contract/fixture staging sẵn sàng từ 26/10. Chưa chạy.</x:v>
      </x:c>
      <x:c r="R23" s="21" t="str">
        <x:v>TBD – endpoint QR/Rewards chưa có trên OpenAPI staging</x:v>
      </x:c>
      <x:c r="S23" s="21" t="str">
        <x:v>Chưa có</x:v>
      </x:c>
      <x:c r="T23" s="21" t="str">
        <x:v>Pos System BRD(2), High Level Requirements(2), 18/10/2026; staging /version 972b94294fe1</x:v>
      </x:c>
      <x:c r="U23" s="21" t="str">
        <x:v>Gate: Billing+audit; RFI: QR-RFI-04</x:v>
      </x:c>
      <x:c r="V23" s="22"/>
      <x:c r="W23" s="22"/>
    </x:row>
    <x:row r="24" ht="78" customHeight="1">
      <x:c r="A24" s="21" t="str">
        <x:v>QR-021</x:v>
      </x:c>
      <x:c r="B24" s="21" t="str">
        <x:v>Chuyển bàn giữ đơn QR</x:v>
      </x:c>
      <x:c r="C24" s="21" t="str">
        <x:v>QR Ordering</x:v>
      </x:c>
      <x:c r="D24" s="21" t="str">
        <x:v>High</x:v>
      </x:c>
      <x:c r="E24" s="21" t="str">
        <x:v>Medium</x:v>
      </x:c>
      <x:c r="F24" s="21" t="str">
        <x:v>Transfer</x:v>
      </x:c>
      <x:c r="G24" s="21" t="str">
        <x:v>Staging/FE đúng baseline; table_session và QR QA cô lập. Có Transfer contract và dữ liệu/bàn đối chứng cần thiết trước khi chạy.</x:v>
      </x:c>
      <x:c r="H24" s="21" t="str">
        <x:v>1. Gửi món QR ở bàn A.
2. Waiter/Supervisor chuyển phiên A sang B theo API được chốt.
3. Đọc order/Queue/bill ở B và kiểm phiên A.</x:v>
      </x:c>
      <x:c r="I24" s="21" t="str">
        <x:v>Tạo đơn QR, nhân viên chuyển bàn theo nghiệp vụ được phê duyệt; đọc lại phiên và tình trạng bếp.</x:v>
      </x:c>
      <x:c r="J24" s="21" t="str">
        <x:v>Order QR, ticket, bill, source và audit theo đúng table_session khi chuyển, không tạo phiên trùng.</x:v>
      </x:c>
      <x:c r="K24" s="22"/>
      <x:c r="L24" s="22" t="str">
        <x:v>Not Executed</x:v>
      </x:c>
      <x:c r="M24" s="22"/>
      <x:c r="N24" s="22"/>
      <x:c r="O24" s="21" t="str">
        <x:v>BR-OM-MRG-002/004; TABLE-HL-018</x:v>
      </x:c>
      <x:c r="P24" s="21" t="str">
        <x:v>Không</x:v>
      </x:c>
      <x:c r="Q24" s="21" t="str">
        <x:v>Gate: Transfer contract; Owner: PO/BE; mở khi QR-RFI-05 được chốt và contract/fixture staging sẵn sàng từ 26/10. Chưa chạy.</x:v>
      </x:c>
      <x:c r="R24" s="21" t="str">
        <x:v>TBD – endpoint QR/Rewards chưa có trên OpenAPI staging</x:v>
      </x:c>
      <x:c r="S24" s="21" t="str">
        <x:v>Chưa có</x:v>
      </x:c>
      <x:c r="T24" s="21" t="str">
        <x:v>Pos System BRD(2), High Level Requirements(2), 18/10/2026; staging /version 972b94294fe1</x:v>
      </x:c>
      <x:c r="U24" s="21" t="str">
        <x:v>Gate: Transfer contract; RFI: QR-RFI-05</x:v>
      </x:c>
      <x:c r="V24" s="22"/>
      <x:c r="W24" s="22"/>
    </x:row>
    <x:row r="25" ht="78" customHeight="1">
      <x:c r="A25" s="21" t="str">
        <x:v>QR-022</x:v>
      </x:c>
      <x:c r="B25" s="21" t="str">
        <x:v>MAIN sau khi course đã fired</x:v>
      </x:c>
      <x:c r="C25" s="21" t="str">
        <x:v>QR Ordering</x:v>
      </x:c>
      <x:c r="D25" s="21" t="str">
        <x:v>High</x:v>
      </x:c>
      <x:c r="E25" s="21" t="str">
        <x:v>Medium</x:v>
      </x:c>
      <x:c r="F25" s="21" t="str">
        <x:v>Course sequence</x:v>
      </x:c>
      <x:c r="G25" s="21" t="str">
        <x:v>Staging/FE đúng baseline; table_session và QR QA cô lập. Có Course contract và dữ liệu/bàn đối chứng cần thiết trước khi chạy.</x:v>
      </x:c>
      <x:c r="H25" s="21" t="str">
        <x:v>1. Chuẩn bị mode COURSE_BASED; fire MAIN cũ.
2. Khách quét QR thêm món MAIN mới.
3. Đọc trạng thái item/Queue, sau đó Waiter fire riêng.</x:v>
      </x:c>
      <x:c r="I25" s="21" t="str">
        <x:v>Khi MAIN đã fired, khách thêm món MAIN qua QR rồi kiểm tra Queue.</x:v>
      </x:c>
      <x:c r="J25" s="21" t="str">
        <x:v>Món MAIN mới vẫn CREATED/HOLD theo mode đã chốt; nhân viên fire riêng; không tự trộn vào ticket cũ.</x:v>
      </x:c>
      <x:c r="K25" s="22"/>
      <x:c r="L25" s="22" t="str">
        <x:v>Not Executed</x:v>
      </x:c>
      <x:c r="M25" s="22"/>
      <x:c r="N25" s="22"/>
      <x:c r="O25" s="21" t="str">
        <x:v>BR-OM-MRG-010; BRD edge case</x:v>
      </x:c>
      <x:c r="P25" s="21" t="str">
        <x:v>Không</x:v>
      </x:c>
      <x:c r="Q25" s="21" t="str">
        <x:v>Gate: Course contract; Owner: PO/BE; mở khi QR-RFI-05 được chốt và contract/fixture staging sẵn sàng từ 26/10. Chưa chạy.</x:v>
      </x:c>
      <x:c r="R25" s="21" t="str">
        <x:v>TBD – endpoint QR/Rewards chưa có trên OpenAPI staging</x:v>
      </x:c>
      <x:c r="S25" s="21" t="str">
        <x:v>Chưa có</x:v>
      </x:c>
      <x:c r="T25" s="21" t="str">
        <x:v>Pos System BRD(2), High Level Requirements(2), 18/10/2026; staging /version 972b94294fe1</x:v>
      </x:c>
      <x:c r="U25" s="21" t="str">
        <x:v>Gate: Course contract; RFI: QR-RFI-05</x:v>
      </x:c>
      <x:c r="V25" s="22"/>
      <x:c r="W25" s="22"/>
    </x:row>
    <x:row r="26" ht="78" customHeight="1">
      <x:c r="A26" s="21" t="str">
        <x:v>QR-023</x:v>
      </x:c>
      <x:c r="B26" s="21" t="str">
        <x:v>POS offline, QR online</x:v>
      </x:c>
      <x:c r="C26" s="21" t="str">
        <x:v>QR Ordering</x:v>
      </x:c>
      <x:c r="D26" s="21" t="str">
        <x:v>High</x:v>
      </x:c>
      <x:c r="E26" s="21" t="str">
        <x:v>Medium</x:v>
      </x:c>
      <x:c r="F26" s="21" t="str">
        <x:v>Recovery / sync</x:v>
      </x:c>
      <x:c r="G26" s="21" t="str">
        <x:v>Staging/FE đúng baseline; table_session và QR QA cô lập. Có Offline FE và dữ liệu/bàn đối chứng cần thiết trước khi chạy.</x:v>
      </x:c>
      <x:c r="H26" s="21" t="str">
        <x:v>1. Mở POS ở phiên QA rồi làm POS offline.
2. Khách QR gửi món khi POS mất mạng.
3. POS nối lại; kiểm REST/WS và version cuối.</x:v>
      </x:c>
      <x:c r="I26" s="21" t="str">
        <x:v>POS mất kết nối trong khi QR trực tuyến và gửi món; POS kết nối lại và đồng bộ REST/WS.</x:v>
      </x:c>
      <x:c r="J26" s="21" t="str">
        <x:v>Món QR không mất/trùng; POS nhận phiên bản và trạng thái mới, không ghi đè đơn.</x:v>
      </x:c>
      <x:c r="K26" s="22"/>
      <x:c r="L26" s="22" t="str">
        <x:v>Not Executed</x:v>
      </x:c>
      <x:c r="M26" s="22"/>
      <x:c r="N26" s="22"/>
      <x:c r="O26" s="21" t="str">
        <x:v>BRD merge edge case</x:v>
      </x:c>
      <x:c r="P26" s="21" t="str">
        <x:v>Không</x:v>
      </x:c>
      <x:c r="Q26" s="21" t="str">
        <x:v>Gate: Offline FE; Owner: BE; mở khi QR-RFI-04 được chốt và contract/fixture staging sẵn sàng từ 26/10. Chưa chạy.</x:v>
      </x:c>
      <x:c r="R26" s="21" t="str">
        <x:v>TBD – endpoint QR/Rewards chưa có trên OpenAPI staging</x:v>
      </x:c>
      <x:c r="S26" s="21" t="str">
        <x:v>Chưa có</x:v>
      </x:c>
      <x:c r="T26" s="21" t="str">
        <x:v>Pos System BRD(2), High Level Requirements(2), 18/10/2026; staging /version 972b94294fe1</x:v>
      </x:c>
      <x:c r="U26" s="21" t="str">
        <x:v>Gate: Offline FE; RFI: QR-RFI-04</x:v>
      </x:c>
      <x:c r="V26" s="22"/>
      <x:c r="W26" s="22"/>
    </x:row>
    <x:row r="27" ht="78" customHeight="1">
      <x:c r="A27" s="21" t="str">
        <x:v>QR-024</x:v>
      </x:c>
      <x:c r="B27" s="21" t="str">
        <x:v>Bếp quá tải có kiểm soát</x:v>
      </x:c>
      <x:c r="C27" s="21" t="str">
        <x:v>QR Ordering</x:v>
      </x:c>
      <x:c r="D27" s="21" t="str">
        <x:v>High</x:v>
      </x:c>
      <x:c r="E27" s="21" t="str">
        <x:v>Medium</x:v>
      </x:c>
      <x:c r="F27" s="21" t="str">
        <x:v>Load / resilience</x:v>
      </x:c>
      <x:c r="G27" s="21" t="str">
        <x:v>Staging/FE đúng baseline; table_session và QR QA cô lập. Có Load fixture và dữ liệu/bàn đối chứng cần thiết trước khi chạy.</x:v>
      </x:c>
      <x:c r="H27" s="21" t="str">
        <x:v>1. Tạo workload QA theo mức được phê duyệt.
2. Gửi một đơn QR hợp lệ trong lúc bếp bận.
3. Đọc order, Queue và SLA sau khi nhận.</x:v>
      </x:c>
      <x:c r="I27" s="21" t="str">
        <x:v>Tạo tải bếp QA được kiểm soát; gửi QR hợp lệ và quan sát Queue/SLA.</x:v>
      </x:c>
      <x:c r="J27" s="21" t="str">
        <x:v>Submit được chấp nhận trong giới hạn tải đã chốt; chỉ một ticket/món và SLA theo dõi chậm; không âm thầm mất đơn.</x:v>
      </x:c>
      <x:c r="K27" s="22"/>
      <x:c r="L27" s="22" t="str">
        <x:v>Not Executed</x:v>
      </x:c>
      <x:c r="M27" s="22"/>
      <x:c r="N27" s="22"/>
      <x:c r="O27" s="21" t="str">
        <x:v>BRD QR overload edge case</x:v>
      </x:c>
      <x:c r="P27" s="21" t="str">
        <x:v>Không</x:v>
      </x:c>
      <x:c r="Q27" s="21" t="str">
        <x:v>Gate: Load fixture; Owner: PO/BE; mở khi QR-RFI-03 được chốt và contract/fixture staging sẵn sàng từ 26/10. Chưa chạy.</x:v>
      </x:c>
      <x:c r="R27" s="21" t="str">
        <x:v>TBD – endpoint QR/Rewards chưa có trên OpenAPI staging</x:v>
      </x:c>
      <x:c r="S27" s="21" t="str">
        <x:v>Chưa có</x:v>
      </x:c>
      <x:c r="T27" s="21" t="str">
        <x:v>Pos System BRD(2), High Level Requirements(2), 18/10/2026; staging /version 972b94294fe1</x:v>
      </x:c>
      <x:c r="U27" s="21" t="str">
        <x:v>Gate: Load fixture; RFI: QR-RFI-03</x:v>
      </x:c>
      <x:c r="V27" s="22"/>
      <x:c r="W27" s="22"/>
    </x:row>
  </x:sheetData>
  <x:mergeCells>
    <x:mergeCell ref="A1:W1"/>
    <x:mergeCell ref="A2:G2"/>
    <x:mergeCell ref="H2:N2"/>
    <x:mergeCell ref="O2:W2"/>
  </x:mergeCells>
  <x:conditionalFormatting sqref="L4:L27">
    <x:cfRule type="expression" dxfId="0" priority="1">
      <x:formula>$L4="Passed"</x:formula>
    </x:cfRule>
    <x:cfRule type="expression" dxfId="1" priority="2">
      <x:formula>$L4="Failed"</x:formula>
    </x:cfRule>
    <x:cfRule type="expression" dxfId="2" priority="3">
      <x:formula>$L4="Blocked"</x:formula>
    </x:cfRule>
    <x:cfRule type="expression" dxfId="3" priority="4">
      <x:formula>$L4="Pending"</x:formula>
    </x:cfRule>
    <x:cfRule type="expression" dxfId="4" priority="5">
      <x:formula>$L4="In Progress"</x:formula>
    </x:cfRule>
    <x:cfRule type="expression" dxfId="5" priority="6">
      <x:formula>$L4="Not Executed"</x:formula>
    </x:cfRule>
    <x:cfRule type="expression" dxfId="6" priority="7">
      <x:formula>$L4="Retest"</x:formula>
    </x:cfRule>
    <x:cfRule type="expression" dxfId="7" priority="8">
      <x:formula>$L4="Skipped"</x:formula>
    </x:cfRule>
  </x:conditionalFormatting>
  <x:dataValidations count="4">
    <x:dataValidation type="list" sqref="L4:L27">
      <x:formula1>"Not Executed,In Progress,Pending,Passed,Failed,Blocked,Skipped,Retest"</x:formula1>
    </x:dataValidation>
    <x:dataValidation type="list" sqref="D4:D27">
      <x:formula1>"Critical,High,Medium,Low"</x:formula1>
    </x:dataValidation>
    <x:dataValidation type="list" sqref="E4:E27">
      <x:formula1>"Critical,High,Medium,Low"</x:formula1>
    </x:dataValidation>
    <x:dataValidation type="list" sqref="P4:P27">
      <x:formula1>"Có,Không"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dd75d9732e43d8"/>
  </x:tableParts>
</x:worksheet>
</file>

<file path=xl/worksheets/sheet2.xml><?xml version="1.0" encoding="utf-8"?>
<x:worksheet xmlns:x="http://schemas.openxmlformats.org/spreadsheetml/2006/main">
  <x:sheetPr>
    <x:tabColor rgb="FF4C7EA1"/>
  </x:sheetPr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5" hidden="0" customWidth="1"/>
    <x:col min="4" max="4" width="48" hidden="0" customWidth="1"/>
    <x:col min="5" max="5" width="74" hidden="0" customWidth="1"/>
  </x:cols>
  <x:sheetData>
    <x:row r="1" ht="35" customHeight="1">
      <x:c r="A1" s="5" t="str">
        <x:v>AFG POS | QR ORDERING STATUS</x:v>
      </x:c>
      <x:c r="B1" s="5"/>
      <x:c r="C1" s="5"/>
      <x:c r="D1" s="5"/>
      <x:c r="E1" s="5"/>
    </x:row>
    <x:row r="2" ht="32" customHeight="1">
      <x:c r="A2" s="8" t="str">
        <x:v>Chỉ đếm kết quả thực thi trong Test Cases; preflight không phải business PASS.</x:v>
      </x:c>
      <x:c r="B2" s="8"/>
      <x:c r="C2" s="8"/>
      <x:c r="D2" s="8"/>
      <x:c r="E2" s="8"/>
    </x:row>
    <x:row r="3" ht="33" customHeight="1">
      <x:c r="A3" s="17" t="str">
        <x:v>Trạng thái test case</x:v>
      </x:c>
      <x:c r="B3" s="19" t="str">
        <x:v>Số lượng</x:v>
      </x:c>
      <x:c r="C3" s="2"/>
      <x:c r="D3" s="17" t="str">
        <x:v>Điều kiện</x:v>
      </x:c>
      <x:c r="E3" s="19" t="str">
        <x:v>Trạng thái / hành động</x:v>
      </x:c>
    </x:row>
    <x:row r="4" ht="55" customHeight="1">
      <x:c r="A4" s="2" t="str">
        <x:v>Tổng test case</x:v>
      </x:c>
      <x:c r="B4" s="24" t="n">
        <x:f>COUNTA('Test Cases'!$A$4:$A$27)</x:f>
        <x:v>24</x:v>
      </x:c>
      <x:c r="C4" s="2"/>
      <x:c r="D4" s="20" t="str">
        <x:v>Staging contract</x:v>
      </x:c>
      <x:c r="E4" s="20" t="str">
        <x:v>19/10: read-only 31 paths/35 operations trên staging 972b94294fe1; danh mục QR/Rewards cần BE xác nhận khi deploy.</x:v>
      </x:c>
    </x:row>
    <x:row r="5" ht="55" customHeight="1">
      <x:c r="A5" s="2" t="str">
        <x:v>Passed</x:v>
      </x:c>
      <x:c r="B5" s="24" t="n">
        <x:f>COUNTIFS('Test Cases'!$L$4:$L$27,"Passed")</x:f>
        <x:v>0</x:v>
      </x:c>
      <x:c r="C5" s="2"/>
      <x:c r="D5" s="20" t="str">
        <x:v>BRD/functional supplement</x:v>
      </x:c>
      <x:c r="E5" s="20" t="str">
        <x:v>Sprint 3–4 từ 26/10; PO/BE/CRM/FE chốt các RFI và expected trước khi chạy nghiệp vụ.</x:v>
      </x:c>
    </x:row>
    <x:row r="6" ht="55" customHeight="1">
      <x:c r="A6" s="2" t="str">
        <x:v>Failed</x:v>
      </x:c>
      <x:c r="B6" s="24" t="n">
        <x:f>COUNTIFS('Test Cases'!$L$4:$L$27,"Failed")</x:f>
        <x:v>0</x:v>
      </x:c>
      <x:c r="C6" s="2"/>
      <x:c r="D6" s="20" t="str">
        <x:v>Fixture</x:v>
      </x:c>
      <x:c r="E6" s="20" t="str">
        <x:v>Owner BE/FE cấp API, FE build, token/bàn QA, CRM/payment sandbox và cleanup; xem RFI &amp; Gaps.</x:v>
      </x:c>
    </x:row>
    <x:row r="7" ht="55" customHeight="1">
      <x:c r="A7" s="2" t="str">
        <x:v>Blocked</x:v>
      </x:c>
      <x:c r="B7" s="24" t="n">
        <x:f>COUNTIFS('Test Cases'!$L$4:$L$27,"Blocked")</x:f>
        <x:v>0</x:v>
      </x:c>
      <x:c r="C7" s="2"/>
      <x:c r="D7" s="20" t="str">
        <x:v>Status</x:v>
      </x:c>
      <x:c r="E7" s="20" t="str">
        <x:v>Ngày 19/10 chỉ chuẩn bị contract và fixture; không có QR/Rewards business PASS.</x:v>
      </x:c>
    </x:row>
    <x:row r="8" ht="55" customHeight="1">
      <x:c r="A8" s="2" t="str">
        <x:v>Pending</x:v>
      </x:c>
      <x:c r="B8" s="24" t="n">
        <x:f>COUNTIFS('Test Cases'!$L$4:$L$27,"Pending")</x:f>
        <x:v>0</x:v>
      </x:c>
      <x:c r="C8" s="2"/>
      <x:c r="D8" s="20" t="str">
        <x:v>Execution</x:v>
      </x:c>
      <x:c r="E8" s="20" t="str">
        <x:v>24 QR + 20 Rewards đều Not Executed; không cộng preflight. Chỉ đổi status sau run có Actual/Evidence/Run ID.</x:v>
      </x:c>
    </x:row>
    <x:row r="9" ht="44" customHeight="1">
      <x:c r="A9" s="2" t="str">
        <x:v>In Progress</x:v>
      </x:c>
      <x:c r="B9" s="24" t="n">
        <x:f>COUNTIFS('Test Cases'!$L$4:$L$27,"In Progress")</x:f>
        <x:v>0</x:v>
      </x:c>
      <x:c r="C9" s="2"/>
      <x:c r="D9" s="20" t="str">
        <x:v>Priority / Severity</x:v>
      </x:c>
      <x:c r="E9" s="20" t="str">
        <x:v>P0→Critical, P1→High; Severity là đề xuất QA, triage defect theo evidence.</x:v>
      </x:c>
    </x:row>
    <x:row r="10" ht="55" customHeight="1">
      <x:c r="A10" s="2" t="str">
        <x:v>Not Executed</x:v>
      </x:c>
      <x:c r="B10" s="24" t="n">
        <x:f>COUNTIFS('Test Cases'!$L$4:$L$27,"Not Executed")</x:f>
        <x:v>24</x:v>
      </x:c>
      <x:c r="C10" s="2"/>
      <x:c r="D10" s="2" t="str">
        <x:v>Kết quả 19/10</x:v>
      </x:c>
      <x:c r="E10" s="2" t="str">
        <x:v>0 Passed, 0 Failed, 0 Blocked; 24 Not Executed. Evidence chỉ là morning audit, không phải QR/Rewards run.</x:v>
      </x:c>
    </x:row>
    <x:row r="11" ht="25" customHeight="1">
      <x:c r="A11" s="2" t="str">
        <x:v>Retest</x:v>
      </x:c>
      <x:c r="B11" s="24" t="n">
        <x:f>COUNTIFS('Test Cases'!$L$4:$L$27,"Retest")</x:f>
        <x:v>0</x:v>
      </x:c>
      <x:c r="C11" s="2"/>
      <x:c r="D11" s="2"/>
      <x:c r="E11" s="2"/>
    </x:row>
    <x:row r="12" ht="25" customHeight="1">
      <x:c r="A12" s="2" t="str">
        <x:v>Skipped</x:v>
      </x:c>
      <x:c r="B12" s="24" t="n">
        <x:f>COUNTIFS('Test Cases'!$L$4:$L$27,"Skipped")</x:f>
        <x:v>0</x:v>
      </x:c>
      <x:c r="C12" s="2"/>
      <x:c r="D12" s="2"/>
      <x:c r="E12" s="2"/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35" hidden="0" customWidth="1"/>
    <x:col min="4" max="4" width="28" hidden="0" customWidth="1"/>
    <x:col min="5" max="5" width="20" hidden="0" customWidth="1"/>
    <x:col min="6" max="6" width="27" hidden="0" customWidth="1"/>
    <x:col min="7" max="7" width="59" hidden="0" customWidth="1"/>
    <x:col min="8" max="8" width="18" hidden="0" customWidth="1"/>
    <x:col min="9" max="9" width="18" hidden="0" customWidth="1"/>
    <x:col min="10" max="10" width="18" hidden="0" customWidth="1"/>
    <x:col min="11" max="11" width="70" hidden="0" customWidth="1"/>
    <x:col min="12" max="12" width="27" hidden="0" customWidth="1"/>
    <x:col min="13" max="13" width="65" hidden="0" customWidth="1"/>
  </x:cols>
  <x:sheetData>
    <x:row r="1" ht="35" customHeight="1">
      <x:c r="A1" s="5" t="str">
        <x:v>AFG POS | QR ORDERING EXECUTION LOG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32" customHeight="1">
      <x:c r="A2" s="8" t="str">
        <x:v>Chỉ ghi quan sát thực tế; một run có thể tham chiếu nhiều case. Không ghi JWT, password hoặc số điện thoại thật.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3" ht="39" customHeight="1">
      <x:c r="A3" s="17" t="str">
        <x:v>Run ID</x:v>
      </x:c>
      <x:c r="B3" s="18" t="str">
        <x:v>Run Date</x:v>
      </x:c>
      <x:c r="C3" s="18" t="str">
        <x:v>Environment</x:v>
      </x:c>
      <x:c r="D3" s="18" t="str">
        <x:v>Build / SHA</x:v>
      </x:c>
      <x:c r="E3" s="18" t="str">
        <x:v>Tool</x:v>
      </x:c>
      <x:c r="F3" s="18" t="str">
        <x:v>Test Ref</x:v>
      </x:c>
      <x:c r="G3" s="18" t="str">
        <x:v>Action</x:v>
      </x:c>
      <x:c r="H3" s="18" t="str">
        <x:v>Expected HTTP</x:v>
      </x:c>
      <x:c r="I3" s="18" t="str">
        <x:v>Actual HTTP</x:v>
      </x:c>
      <x:c r="J3" s="18" t="str">
        <x:v>Result</x:v>
      </x:c>
      <x:c r="K3" s="18" t="str">
        <x:v>Evidence</x:v>
      </x:c>
      <x:c r="L3" s="18" t="str">
        <x:v>Tester</x:v>
      </x:c>
      <x:c r="M3" s="19" t="str">
        <x:v>Note</x:v>
      </x:c>
    </x:row>
    <x:row r="4" ht="28" customHeight="1">
      <x:c r="A4" s="25" t="str">
        <x:v>PF-CONTRACT-20261019</x:v>
      </x:c>
      <x:c r="B4" s="25" t="str">
        <x:v>2026-10-19</x:v>
      </x:c>
      <x:c r="C4" s="25" t="str">
        <x:v>Staging</x:v>
      </x:c>
      <x:c r="D4" s="25" t="str">
        <x:v>972b94294fe1</x:v>
      </x:c>
      <x:c r="E4" s="25" t="str">
        <x:v>PowerShell read-only</x:v>
      </x:c>
      <x:c r="F4" s="25" t="str">
        <x:v>QR/RW contract readiness</x:v>
      </x:c>
      <x:c r="G4" s="25" t="str">
        <x:v>/version, OpenAPI 31 paths/35 operations; B4/QA cleanup check</x:v>
      </x:c>
      <x:c r="H4" s="25" t="str">
        <x:v>N/A</x:v>
      </x:c>
      <x:c r="I4" s="25" t="str">
        <x:v>HTTP status not retained in summary</x:v>
      </x:c>
      <x:c r="J4" s="25" t="str">
        <x:v>Preflight only</x:v>
      </x:c>
      <x:c r="K4" s="26" t="str">
        <x:v>D:\POS_SYSTEM_QA\evidence\AFG_POS\MORNING_READONLY_2026-10-19_083302.log</x:v>
      </x:c>
      <x:c r="L4" s="25" t="str">
        <x:v>QA</x:v>
      </x:c>
      <x:c r="M4" s="25"/>
    </x:row>
    <x:row r="5" ht="28" customHeight="1">
      <x:c r="A5" s="25"/>
      <x:c r="B5" s="25"/>
      <x:c r="C5" s="25"/>
      <x:c r="D5" s="25"/>
      <x:c r="E5" s="25"/>
      <x:c r="F5" s="25"/>
      <x:c r="G5" s="25"/>
      <x:c r="H5" s="25"/>
      <x:c r="I5" s="25"/>
      <x:c r="J5" s="25"/>
      <x:c r="K5" s="26"/>
      <x:c r="L5" s="25"/>
      <x:c r="M5" s="25"/>
    </x:row>
    <x:row r="6" ht="28" customHeight="1">
      <x:c r="A6" s="25"/>
      <x:c r="B6" s="25"/>
      <x:c r="C6" s="25"/>
      <x:c r="D6" s="25"/>
      <x:c r="E6" s="25"/>
      <x:c r="F6" s="25"/>
      <x:c r="G6" s="25"/>
      <x:c r="H6" s="25"/>
      <x:c r="I6" s="25"/>
      <x:c r="J6" s="25"/>
      <x:c r="K6" s="26"/>
      <x:c r="L6" s="25"/>
      <x:c r="M6" s="25"/>
    </x:row>
    <x:row r="7" ht="28" customHeight="1">
      <x:c r="A7" s="25"/>
      <x:c r="B7" s="25"/>
      <x:c r="C7" s="25"/>
      <x:c r="D7" s="25"/>
      <x:c r="E7" s="25"/>
      <x:c r="F7" s="25"/>
      <x:c r="G7" s="25"/>
      <x:c r="H7" s="25"/>
      <x:c r="I7" s="25"/>
      <x:c r="J7" s="25"/>
      <x:c r="K7" s="26"/>
      <x:c r="L7" s="25"/>
      <x:c r="M7" s="25"/>
    </x:row>
    <x:row r="8" ht="28" customHeight="1">
      <x:c r="A8" s="25"/>
      <x:c r="B8" s="25"/>
      <x:c r="C8" s="25"/>
      <x:c r="D8" s="25"/>
      <x:c r="E8" s="25"/>
      <x:c r="F8" s="25"/>
      <x:c r="G8" s="25"/>
      <x:c r="H8" s="25"/>
      <x:c r="I8" s="25"/>
      <x:c r="J8" s="25"/>
      <x:c r="K8" s="26"/>
      <x:c r="L8" s="25"/>
      <x:c r="M8" s="25"/>
    </x:row>
    <x:row r="9" ht="28" customHeight="1">
      <x:c r="A9" s="25"/>
      <x:c r="B9" s="25"/>
      <x:c r="C9" s="25"/>
      <x:c r="D9" s="25"/>
      <x:c r="E9" s="25"/>
      <x:c r="F9" s="25"/>
      <x:c r="G9" s="25"/>
      <x:c r="H9" s="25"/>
      <x:c r="I9" s="25"/>
      <x:c r="J9" s="25"/>
      <x:c r="K9" s="26"/>
      <x:c r="L9" s="25"/>
      <x:c r="M9" s="25"/>
    </x:row>
    <x:row r="10" ht="28" customHeight="1">
      <x:c r="A10" s="25"/>
      <x:c r="B10" s="25"/>
      <x:c r="C10" s="25"/>
      <x:c r="D10" s="25"/>
      <x:c r="E10" s="25"/>
      <x:c r="F10" s="25"/>
      <x:c r="G10" s="25"/>
      <x:c r="H10" s="25"/>
      <x:c r="I10" s="25"/>
      <x:c r="J10" s="25"/>
      <x:c r="K10" s="26"/>
      <x:c r="L10" s="25"/>
      <x:c r="M10" s="25"/>
    </x:row>
    <x:row r="11" ht="28" customHeight="1">
      <x:c r="A11" s="25"/>
      <x:c r="B11" s="25"/>
      <x:c r="C11" s="25"/>
      <x:c r="D11" s="25"/>
      <x:c r="E11" s="25"/>
      <x:c r="F11" s="25"/>
      <x:c r="G11" s="25"/>
      <x:c r="H11" s="25"/>
      <x:c r="I11" s="25"/>
      <x:c r="J11" s="25"/>
      <x:c r="K11" s="26"/>
      <x:c r="L11" s="25"/>
      <x:c r="M11" s="25"/>
    </x:row>
    <x:row r="12" ht="28" customHeight="1">
      <x:c r="A12" s="25"/>
      <x:c r="B12" s="25"/>
      <x:c r="C12" s="25"/>
      <x:c r="D12" s="25"/>
      <x:c r="E12" s="25"/>
      <x:c r="F12" s="25"/>
      <x:c r="G12" s="25"/>
      <x:c r="H12" s="25"/>
      <x:c r="I12" s="25"/>
      <x:c r="J12" s="25"/>
      <x:c r="K12" s="26"/>
      <x:c r="L12" s="25"/>
      <x:c r="M12" s="25"/>
    </x:row>
    <x:row r="13" ht="28" customHeight="1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  <x:c r="K13" s="26"/>
      <x:c r="L13" s="25"/>
      <x:c r="M13" s="25"/>
    </x:row>
    <x:row r="14" ht="28" customHeight="1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  <x:c r="K14" s="26"/>
      <x:c r="L14" s="25"/>
      <x:c r="M14" s="25"/>
    </x:row>
    <x:row r="15" ht="28" customHeight="1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  <x:c r="K15" s="26"/>
      <x:c r="L15" s="25"/>
      <x:c r="M15" s="25"/>
    </x:row>
    <x:row r="16" ht="28" customHeight="1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  <x:c r="K16" s="26"/>
      <x:c r="L16" s="25"/>
      <x:c r="M16" s="25"/>
    </x:row>
    <x:row r="17" ht="28" customHeight="1">
      <x:c r="A17" s="25"/>
      <x:c r="B17" s="25"/>
      <x:c r="C17" s="25"/>
      <x:c r="D17" s="25"/>
      <x:c r="E17" s="25"/>
      <x:c r="F17" s="25"/>
      <x:c r="G17" s="25"/>
      <x:c r="H17" s="25"/>
      <x:c r="I17" s="25"/>
      <x:c r="J17" s="25"/>
      <x:c r="K17" s="26"/>
      <x:c r="L17" s="25"/>
      <x:c r="M17" s="25"/>
    </x:row>
    <x:row r="18" ht="28" customHeight="1">
      <x:c r="A18" s="25"/>
      <x:c r="B18" s="25"/>
      <x:c r="C18" s="25"/>
      <x:c r="D18" s="25"/>
      <x:c r="E18" s="25"/>
      <x:c r="F18" s="25"/>
      <x:c r="G18" s="25"/>
      <x:c r="H18" s="25"/>
      <x:c r="I18" s="25"/>
      <x:c r="J18" s="25"/>
      <x:c r="K18" s="26"/>
      <x:c r="L18" s="25"/>
      <x:c r="M18" s="25"/>
    </x:row>
    <x:row r="19" ht="28" customHeight="1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  <x:c r="K19" s="26"/>
      <x:c r="L19" s="25"/>
      <x:c r="M19" s="25"/>
    </x:row>
    <x:row r="20" ht="28" customHeight="1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  <x:c r="K20" s="26"/>
      <x:c r="L20" s="25"/>
      <x:c r="M20" s="25"/>
    </x:row>
    <x:row r="21" ht="28" customHeight="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  <x:c r="K21" s="26"/>
      <x:c r="L21" s="25"/>
      <x:c r="M21" s="25"/>
    </x:row>
    <x:row r="22" ht="28" customHeight="1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  <x:c r="K22" s="26"/>
      <x:c r="L22" s="25"/>
      <x:c r="M22" s="25"/>
    </x:row>
    <x:row r="23" ht="28" customHeight="1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  <x:c r="K23" s="26"/>
      <x:c r="L23" s="25"/>
      <x:c r="M23" s="25"/>
    </x:row>
    <x:row r="24" ht="28" customHeight="1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  <x:c r="K24" s="26"/>
      <x:c r="L24" s="25"/>
      <x:c r="M24" s="25"/>
    </x:row>
    <x:row r="25" ht="28" customHeight="1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  <x:c r="K25" s="26"/>
      <x:c r="L25" s="25"/>
      <x:c r="M25" s="25"/>
    </x:row>
    <x:row r="26" ht="28" customHeight="1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  <x:c r="K26" s="26"/>
      <x:c r="L26" s="25"/>
      <x:c r="M26" s="25"/>
    </x:row>
    <x:row r="27" ht="28" customHeight="1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  <x:c r="K27" s="26"/>
      <x:c r="L27" s="25"/>
      <x:c r="M27" s="25"/>
    </x:row>
    <x:row r="28" ht="28" customHeight="1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  <x:c r="K28" s="26"/>
      <x:c r="L28" s="25"/>
      <x:c r="M28" s="25"/>
    </x:row>
    <x:row r="29" ht="28" customHeight="1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  <x:c r="K29" s="26"/>
      <x:c r="L29" s="25"/>
      <x:c r="M29" s="25"/>
    </x:row>
    <x:row r="30" ht="28" customHeight="1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  <x:c r="K30" s="26"/>
      <x:c r="L30" s="25"/>
      <x:c r="M30" s="25"/>
    </x:row>
    <x:row r="31" ht="28" customHeight="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  <x:c r="K31" s="26"/>
      <x:c r="L31" s="25"/>
      <x:c r="M31" s="25"/>
    </x:row>
    <x:row r="32" ht="28" customHeight="1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6"/>
      <x:c r="L32" s="25"/>
      <x:c r="M32" s="25"/>
    </x:row>
    <x:row r="33" ht="28" customHeight="1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6"/>
      <x:c r="L33" s="25"/>
      <x:c r="M33" s="25"/>
    </x:row>
    <x:row r="34" ht="28" customHeight="1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6"/>
      <x:c r="L34" s="25"/>
      <x:c r="M34" s="25"/>
    </x:row>
    <x:row r="35" ht="28" customHeight="1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  <x:c r="K35" s="26"/>
      <x:c r="L35" s="25"/>
      <x:c r="M35" s="25"/>
    </x:row>
    <x:row r="36" ht="28" customHeight="1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6"/>
      <x:c r="L36" s="25"/>
      <x:c r="M36" s="25"/>
    </x:row>
    <x:row r="37" ht="28" customHeight="1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  <x:c r="K37" s="26"/>
      <x:c r="L37" s="25"/>
      <x:c r="M37" s="25"/>
    </x:row>
    <x:row r="38" ht="28" customHeight="1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  <x:c r="K38" s="26"/>
      <x:c r="L38" s="25"/>
      <x:c r="M38" s="25"/>
    </x:row>
    <x:row r="39" ht="28" customHeight="1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  <x:c r="K39" s="26"/>
      <x:c r="L39" s="25"/>
      <x:c r="M39" s="25"/>
    </x:row>
    <x:row r="40" ht="28" customHeight="1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  <x:c r="K40" s="26"/>
      <x:c r="L40" s="25"/>
      <x:c r="M40" s="25"/>
    </x:row>
    <x:row r="41" ht="28" customHeight="1">
      <x:c r="A41" s="25"/>
      <x:c r="B41" s="25"/>
      <x:c r="C41" s="25"/>
      <x:c r="D41" s="25"/>
      <x:c r="E41" s="25"/>
      <x:c r="F41" s="25"/>
      <x:c r="G41" s="25"/>
      <x:c r="H41" s="25"/>
      <x:c r="I41" s="25"/>
      <x:c r="J41" s="25"/>
      <x:c r="K41" s="26"/>
      <x:c r="L41" s="25"/>
      <x:c r="M41" s="25"/>
    </x:row>
    <x:row r="42" ht="28" customHeight="1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  <x:c r="K42" s="26"/>
      <x:c r="L42" s="25"/>
      <x:c r="M42" s="25"/>
    </x:row>
    <x:row r="43" ht="28" customHeight="1">
      <x:c r="A43" s="25"/>
      <x:c r="B43" s="25"/>
      <x:c r="C43" s="25"/>
      <x:c r="D43" s="25"/>
      <x:c r="E43" s="25"/>
      <x:c r="F43" s="25"/>
      <x:c r="G43" s="25"/>
      <x:c r="H43" s="25"/>
      <x:c r="I43" s="25"/>
      <x:c r="J43" s="25"/>
      <x:c r="K43" s="26"/>
      <x:c r="L43" s="25"/>
      <x:c r="M43" s="25"/>
    </x:row>
    <x:row r="44" ht="28" customHeight="1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  <x:c r="K44" s="26"/>
      <x:c r="L44" s="25"/>
      <x:c r="M44" s="25"/>
    </x:row>
    <x:row r="45" ht="28" customHeight="1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  <x:c r="K45" s="26"/>
      <x:c r="L45" s="25"/>
      <x:c r="M45" s="25"/>
    </x:row>
    <x:row r="46" ht="28" customHeight="1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  <x:c r="K46" s="26"/>
      <x:c r="L46" s="25"/>
      <x:c r="M46" s="25"/>
    </x:row>
    <x:row r="47" ht="28" customHeight="1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  <x:c r="K47" s="26"/>
      <x:c r="L47" s="25"/>
      <x:c r="M47" s="25"/>
    </x:row>
    <x:row r="48" ht="28" customHeight="1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  <x:c r="K48" s="26"/>
      <x:c r="L48" s="25"/>
      <x:c r="M48" s="25"/>
    </x:row>
    <x:row r="49" ht="28" customHeight="1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  <x:c r="K49" s="26"/>
      <x:c r="L49" s="25"/>
      <x:c r="M49" s="25"/>
    </x:row>
    <x:row r="50" ht="28" customHeight="1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  <x:c r="K50" s="26"/>
      <x:c r="L50" s="25"/>
      <x:c r="M50" s="25"/>
    </x:row>
    <x:row r="51" ht="28" customHeight="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  <x:c r="K51" s="26"/>
      <x:c r="L51" s="25"/>
      <x:c r="M51" s="25"/>
    </x:row>
    <x:row r="52" ht="28" customHeight="1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  <x:c r="K52" s="26"/>
      <x:c r="L52" s="25"/>
      <x:c r="M52" s="25"/>
    </x:row>
    <x:row r="53" ht="28" customHeight="1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  <x:c r="K53" s="26"/>
      <x:c r="L53" s="25"/>
      <x:c r="M53" s="25"/>
    </x:row>
  </x:sheetData>
  <x:mergeCells>
    <x:mergeCell ref="A1:M1"/>
    <x:mergeCell ref="A2:M2"/>
  </x:mergeCells>
  <x:dataValidations count="1">
    <x:dataValidation type="list" sqref="J4:J203">
      <x:formula1>"Not Executed,In Progress,Pending,Passed,Failed,Blocked,Skipped,Retest"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58" hidden="0" customWidth="1"/>
    <x:col min="4" max="4" width="49" hidden="0" customWidth="1"/>
    <x:col min="5" max="5" width="57" hidden="0" customWidth="1"/>
    <x:col min="6" max="6" width="50" hidden="0" customWidth="1"/>
    <x:col min="7" max="7" width="48" hidden="0" customWidth="1"/>
    <x:col min="8" max="8" width="25" hidden="0" customWidth="1"/>
    <x:col min="9" max="9" width="19" hidden="0" customWidth="1"/>
    <x:col min="10" max="10" width="51" hidden="0" customWidth="1"/>
    <x:col min="11" max="11" width="54" hidden="0" customWidth="1"/>
  </x:cols>
  <x:sheetData>
    <x:row r="1" ht="35" customHeight="1">
      <x:c r="A1" s="5" t="str">
        <x:v>AFG POS | QR ORDERING RFI &amp; GAPS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2" customHeight="1">
      <x:c r="A2" s="8" t="str">
        <x:v>Open là câu hỏi đang chờ quyết định; ghi nguồn phê duyệt trước khi thay đổi expected result.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3" ht="41" customHeight="1">
      <x:c r="A3" s="17" t="str">
        <x:v>ID</x:v>
      </x:c>
      <x:c r="B3" s="18" t="str">
        <x:v>Loại</x:v>
      </x:c>
      <x:c r="C3" s="18" t="str">
        <x:v>Vấn đề</x:v>
      </x:c>
      <x:c r="D3" s="18" t="str">
        <x:v>Nguồn A</x:v>
      </x:c>
      <x:c r="E3" s="18" t="str">
        <x:v>Nguồn B / Quan sát</x:v>
      </x:c>
      <x:c r="F3" s="18" t="str">
        <x:v>Tác động QA</x:v>
      </x:c>
      <x:c r="G3" s="18" t="str">
        <x:v>Quyết định tạm thời</x:v>
      </x:c>
      <x:c r="H3" s="18" t="str">
        <x:v>Owner</x:v>
      </x:c>
      <x:c r="I3" s="18" t="str">
        <x:v>Status</x:v>
      </x:c>
      <x:c r="J3" s="18" t="str">
        <x:v>TC liên quan</x:v>
      </x:c>
      <x:c r="K3" s="19" t="str">
        <x:v>Nguồn / Trace</x:v>
      </x:c>
    </x:row>
    <x:row r="4" ht="88" customHeight="1">
      <x:c r="A4" s="21" t="str">
        <x:v>QR-RFI-01</x:v>
      </x:c>
      <x:c r="B4" s="21" t="str">
        <x:v>Contract / policy</x:v>
      </x:c>
      <x:c r="C4" s="21" t="str">
        <x:v>TTL QR, thu hồi, token theo bàn hay phiên; hết hạn trả lỗi/hướng dẫn nào?</x:v>
      </x:c>
      <x:c r="D4" s="21" t="str">
        <x:v>BRD/HLR QR, 18/10/2026</x:v>
      </x:c>
      <x:c r="E4" s="21" t="str">
        <x:v>OpenAPI staging chưa có endpoint QR/Rewards; chưa có quyết định PO/BE.</x:v>
      </x:c>
      <x:c r="F4" s="21" t="str">
        <x:v>Chưa khóa được expected và fixture tương ứng.</x:v>
      </x:c>
      <x:c r="G4" s="21" t="str">
        <x:v>Mở khi: PO/BE chốt TTL, phạm vi token, thu hồi và mã lỗi; BE công bố API và cấp token QA hợp lệ/hết hạn/thu hồi. Giữ testcase Not Executed cho tới khi chạy có evidence.</x:v>
      </x:c>
      <x:c r="H4" s="21" t="str">
        <x:v>PO/BE</x:v>
      </x:c>
      <x:c r="I4" s="22" t="str">
        <x:v>Open</x:v>
      </x:c>
      <x:c r="J4" s="21" t="str">
        <x:v>QR-003/004/005/018/019</x:v>
      </x:c>
      <x:c r="K4" s="21" t="str">
        <x:v>Test Cases!U4:U27</x:v>
      </x:c>
    </x:row>
    <x:row r="5" ht="88" customHeight="1">
      <x:c r="A5" s="21" t="str">
        <x:v>QR-RFI-02</x:v>
      </x:c>
      <x:c r="B5" s="21" t="str">
        <x:v>Contract / policy</x:v>
      </x:c>
      <x:c r="C5" s="21" t="str">
        <x:v>Giữ giỏ X phút sau idle: X bao nhiêu và lưu ở client/server?</x:v>
      </x:c>
      <x:c r="D5" s="21" t="str">
        <x:v>BRD/HLR QR, 18/10/2026</x:v>
      </x:c>
      <x:c r="E5" s="21" t="str">
        <x:v>OpenAPI staging chưa có endpoint QR/Rewards; chưa có quyết định PO/BE.</x:v>
      </x:c>
      <x:c r="F5" s="21" t="str">
        <x:v>Chưa khóa được expected và fixture tương ứng.</x:v>
      </x:c>
      <x:c r="G5" s="21" t="str">
        <x:v>Mở khi: PO/FE chốt X phút, nơi lưu giỏ và hành vi idle; FE có build và giỏ QA để đo thời gian. Giữ testcase Not Executed cho tới khi chạy có evidence.</x:v>
      </x:c>
      <x:c r="H5" s="21" t="str">
        <x:v>PO/FE</x:v>
      </x:c>
      <x:c r="I5" s="22" t="str">
        <x:v>Open</x:v>
      </x:c>
      <x:c r="J5" s="21" t="str">
        <x:v>QR-018</x:v>
      </x:c>
      <x:c r="K5" s="21" t="str">
        <x:v>Test Cases!U4:U27</x:v>
      </x:c>
    </x:row>
    <x:row r="6" ht="88" customHeight="1">
      <x:c r="A6" s="21" t="str">
        <x:v>QR-RFI-03</x:v>
      </x:c>
      <x:c r="B6" s="21" t="str">
        <x:v>Contract / policy</x:v>
      </x:c>
      <x:c r="C6" s="21" t="str">
        <x:v>Mốc đầu-cuối ≤30 giây: từ quét hay từ menu ready; tải và percentile nào?</x:v>
      </x:c>
      <x:c r="D6" s="21" t="str">
        <x:v>BRD/HLR QR, 18/10/2026</x:v>
      </x:c>
      <x:c r="E6" s="21" t="str">
        <x:v>OpenAPI staging chưa có endpoint QR/Rewards; chưa có quyết định PO/BE.</x:v>
      </x:c>
      <x:c r="F6" s="21" t="str">
        <x:v>Chưa khóa được expected và fixture tương ứng.</x:v>
      </x:c>
      <x:c r="G6" s="21" t="str">
        <x:v>Mở khi: PO/BE chốt điểm bắt đầu/kết thúc, mức tải và percentile của mốc 30 giây; QA có trace đo trên build freeze. Giữ testcase Not Executed cho tới khi chạy có evidence.</x:v>
      </x:c>
      <x:c r="H6" s="21" t="str">
        <x:v>PO/BE</x:v>
      </x:c>
      <x:c r="I6" s="22" t="str">
        <x:v>Open</x:v>
      </x:c>
      <x:c r="J6" s="21" t="str">
        <x:v>QR-001/017/024</x:v>
      </x:c>
      <x:c r="K6" s="21" t="str">
        <x:v>Test Cases!U4:U27</x:v>
      </x:c>
    </x:row>
    <x:row r="7" ht="88" customHeight="1">
      <x:c r="A7" s="21" t="str">
        <x:v>QR-RFI-04</x:v>
      </x:c>
      <x:c r="B7" s="21" t="str">
        <x:v>Contract / policy</x:v>
      </x:c>
      <x:c r="C7" s="21" t="str">
        <x:v>Một table_session chứa một hay nhiều order QR/POS; source/version/request_id field và retry status?</x:v>
      </x:c>
      <x:c r="D7" s="21" t="str">
        <x:v>BRD/HLR QR, 18/10/2026</x:v>
      </x:c>
      <x:c r="E7" s="21" t="str">
        <x:v>OpenAPI staging chưa có endpoint QR/Rewards; chưa có quyết định PO/BE.</x:v>
      </x:c>
      <x:c r="F7" s="21" t="str">
        <x:v>Chưa khóa được expected và fixture tương ứng.</x:v>
      </x:c>
      <x:c r="G7" s="21" t="str">
        <x:v>Mở khi: BE chốt table_session/order, source, version, idempotency và retry status; QA có hai actor cùng phiên và order cô lập. Giữ testcase Not Executed cho tới khi chạy có evidence.</x:v>
      </x:c>
      <x:c r="H7" s="21" t="str">
        <x:v>BE</x:v>
      </x:c>
      <x:c r="I7" s="22" t="str">
        <x:v>Open</x:v>
      </x:c>
      <x:c r="J7" s="21" t="str">
        <x:v>QR-002/008/009/010/011/012/013/014/015/020/023</x:v>
      </x:c>
      <x:c r="K7" s="21" t="str">
        <x:v>Test Cases!U4:U27</x:v>
      </x:c>
    </x:row>
    <x:row r="8" ht="88" customHeight="1">
      <x:c r="A8" s="21" t="str">
        <x:v>QR-RFI-05</x:v>
      </x:c>
      <x:c r="B8" s="21" t="str">
        <x:v>Contract / policy</x:v>
      </x:c>
      <x:c r="C8" s="21" t="str">
        <x:v>Modifier/course/transfer và OOS race dùng contract, giá và trạng thái nào?</x:v>
      </x:c>
      <x:c r="D8" s="21" t="str">
        <x:v>BRD/HLR QR, 18/10/2026</x:v>
      </x:c>
      <x:c r="E8" s="21" t="str">
        <x:v>OpenAPI staging chưa có endpoint QR/Rewards; chưa có quyết định PO/BE.</x:v>
      </x:c>
      <x:c r="F8" s="21" t="str">
        <x:v>Chưa khóa được expected và fixture tương ứng.</x:v>
      </x:c>
      <x:c r="G8" s="21" t="str">
        <x:v>Mở khi: PO/BE chốt modifier, giá, course, transfer và OOS race; API/FE và fixture tương ứng sẵn sàng. Giữ testcase Not Executed cho tới khi chạy có evidence.</x:v>
      </x:c>
      <x:c r="H8" s="21" t="str">
        <x:v>PO/BE</x:v>
      </x:c>
      <x:c r="I8" s="22" t="str">
        <x:v>Open</x:v>
      </x:c>
      <x:c r="J8" s="21" t="str">
        <x:v>QR-006/007/016/021/022</x:v>
      </x:c>
      <x:c r="K8" s="21" t="str">
        <x:v>Test Cases!U4:U27</x:v>
      </x:c>
    </x:row>
    <x:row r="9" ht="88" customHeight="1">
      <x:c r="A9" t="str">
        <x:v>RFI-SIT-01</x:v>
      </x:c>
      <x:c r="B9" t="str">
        <x:v>Contract / fixture</x:v>
      </x:c>
      <x:c r="C9" t="str">
        <x:v>Ngày deploy QR/Rewards, OpenAPI, FE Customer/Kitchen UI, CRM/payment sandbox, outlet B và cleanup owner?</x:v>
      </x:c>
      <x:c r="D9" t="str">
        <x:v>SIT design 19/10/2026</x:v>
      </x:c>
      <x:c r="E9" t="str">
        <x:v>Morning read-only 19/10: 31 paths/35 operations; chưa có bằng chứng nghiệp vụ QR/Rewards.</x:v>
      </x:c>
      <x:c r="F9" t="str">
        <x:v>Chưa mở gate thực thi QR/Rewards.</x:v>
      </x:c>
      <x:c r="G9" t="str">
        <x:v>Mở khi: BE/FE công bố /version và OpenAPI QR/Rewards trên staging, FE Customer/Kitchen build; QA xác nhận token, outlet, CRM/payment sandbox và cleanup owner. Không suy business PASS từ preflight.</x:v>
      </x:c>
      <x:c r="H9" t="str">
        <x:v>BE/FE</x:v>
      </x:c>
      <x:c r="I9" t="str">
        <x:v>Open</x:v>
      </x:c>
      <x:c r="J9" t="str">
        <x:v>QR-001…024</x:v>
      </x:c>
      <x:c r="K9" t="str">
        <x:v>AFG_POS_API_Regression_Matrix_2026-10-19.xlsx; MORNING_READONLY_2026-10-19_083302.log</x:v>
      </x:c>
    </x:row>
  </x:sheetData>
  <x:mergeCells>
    <x:mergeCell ref="A1:K1"/>
    <x:mergeCell ref="A2:K2"/>
  </x:mergeCells>
  <x:dataValidations count="2">
    <x:dataValidation type="list" sqref="I4:I8">
      <x:formula1>"Open,Answered,Closed,Deferred"</x:formula1>
    </x:dataValidation>
    <x:dataValidation type="list" sqref="I9">
      <x:formula1>"Open,Answered,Closed,Deferred"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7" hidden="0" customWidth="1"/>
    <x:col min="2" max="2" width="58" hidden="0" customWidth="1"/>
    <x:col min="3" max="3" width="40" hidden="0" customWidth="1"/>
    <x:col min="4" max="4" width="27" hidden="0" customWidth="1"/>
    <x:col min="5" max="5" width="78" hidden="0" customWidth="1"/>
    <x:col min="6" max="6" width="21" hidden="0" customWidth="1"/>
    <x:col min="7" max="7" width="75" hidden="0" customWidth="1"/>
  </x:cols>
  <x:sheetData>
    <x:row r="1" ht="35" customHeight="1">
      <x:c r="A1" s="5" t="str">
        <x:v>TÀI LIỆU VÀ BASELINE DÙNG ĐỂ THIẾT KẾ</x:v>
      </x:c>
      <x:c r="B1" s="5"/>
      <x:c r="C1" s="5"/>
      <x:c r="D1" s="5"/>
      <x:c r="E1" s="5"/>
      <x:c r="F1" s="5"/>
      <x:c r="G1" s="5"/>
    </x:row>
    <x:row r="2" ht="35" customHeight="1">
      <x:c r="A2" s="17" t="str">
        <x:v>Mã nguồn</x:v>
      </x:c>
      <x:c r="B2" s="18" t="str">
        <x:v>Tên nguồn</x:v>
      </x:c>
      <x:c r="C2" s="18" t="str">
        <x:v>Phiên bản / SHA / Ngày</x:v>
      </x:c>
      <x:c r="D2" s="18" t="str">
        <x:v>Nhóm</x:v>
      </x:c>
      <x:c r="E2" s="18" t="str">
        <x:v>File / liên kết</x:v>
      </x:c>
      <x:c r="F2" s="18" t="str">
        <x:v>Mức độ nguồn</x:v>
      </x:c>
      <x:c r="G2" s="19" t="str">
        <x:v>Lưu ý</x:v>
      </x:c>
    </x:row>
    <x:row r="3" ht="34" customHeight="1">
      <x:c r="A3" s="21" t="str">
        <x:v>SRC-QR-01</x:v>
      </x:c>
      <x:c r="B3" s="21" t="str">
        <x:v>Pos System BRD(2)</x:v>
      </x:c>
      <x:c r="C3" s="21" t="str">
        <x:v>BRD v1.1 TBD; 18/10/2026</x:v>
      </x:c>
      <x:c r="D3" s="21" t="str">
        <x:v>Requirement</x:v>
      </x:c>
      <x:c r="E3" s="21" t="str">
        <x:v>Pos System BRD(2).docx</x:v>
      </x:c>
      <x:c r="F3" s="21" t="str">
        <x:v>Design source</x:v>
      </x:c>
      <x:c r="G3" s="21" t="str">
        <x:v>BR-QR-001…010, BR-OM-MRG-001…010; chờ phê duyệt.</x:v>
      </x:c>
    </x:row>
    <x:row r="4" ht="34" customHeight="1">
      <x:c r="A4" s="21" t="str">
        <x:v>SRC-HLR-01</x:v>
      </x:c>
      <x:c r="B4" s="21" t="str">
        <x:v>High Level Requirements(2)</x:v>
      </x:c>
      <x:c r="C4" s="21" t="str">
        <x:v>18/10/2026</x:v>
      </x:c>
      <x:c r="D4" s="21" t="str">
        <x:v>Requirement</x:v>
      </x:c>
      <x:c r="E4" s="21" t="str">
        <x:v>High Level Requirements(2).docx</x:v>
      </x:c>
      <x:c r="F4" s="21" t="str">
        <x:v>Design source</x:v>
      </x:c>
      <x:c r="G4" s="21" t="str">
        <x:v>QR-HL-001…005; CRM-HL-001…005.</x:v>
      </x:c>
    </x:row>
    <x:row r="5" ht="34" customHeight="1">
      <x:c r="A5" s="21" t="str">
        <x:v>SRC-SPC-01</x:v>
      </x:c>
      <x:c r="B5" s="21" t="str">
        <x:v>Missing Functional Specification v1.0</x:v>
      </x:c>
      <x:c r="C5" s="21" t="str">
        <x:v>Draft for PM/PO/BA approval</x:v>
      </x:c>
      <x:c r="D5" s="21" t="str">
        <x:v>Supplement</x:v>
      </x:c>
      <x:c r="E5" s="21" t="str">
        <x:v>POS_System_BRD_Missing_Functional_Specification_v1.0.docx</x:v>
      </x:c>
      <x:c r="F5" s="21" t="str">
        <x:v>Draft</x:v>
      </x:c>
      <x:c r="G5" s="21" t="str">
        <x:v>BR-CRM-001…005 và §9.5.6; không coi policy Draft đã chốt.</x:v>
      </x:c>
    </x:row>
    <x:row r="6" ht="34" customHeight="1">
      <x:c r="A6" s="21" t="str">
        <x:v>SRC-PROC-01</x:v>
      </x:c>
      <x:c r="B6" s="21" t="str">
        <x:v>Business Process from BRD/HLR v1.0</x:v>
      </x:c>
      <x:c r="C6" s="21" t="str">
        <x:v>18/10/2026</x:v>
      </x:c>
      <x:c r="D6" s="21" t="str">
        <x:v>Process</x:v>
      </x:c>
      <x:c r="E6" s="21" t="str">
        <x:v>POS_System_Business_Process_from_BRD_HLR_v1.0.docx</x:v>
      </x:c>
      <x:c r="F6" s="21" t="str">
        <x:v>Design source</x:v>
      </x:c>
      <x:c r="G6" s="21" t="str">
        <x:v>Flow QR Ordering và Rewards.</x:v>
      </x:c>
    </x:row>
    <x:row r="7" ht="34" customHeight="1">
      <x:c r="A7" s="21" t="str">
        <x:v>SRC-STG-01</x:v>
      </x:c>
      <x:c r="B7" s="21" t="str">
        <x:v>Staging /version, /openapi.json</x:v>
      </x:c>
      <x:c r="C7" s="21" t="str">
        <x:v>972b94294fe15a28f147f721de75171ce1c3b8f9</x:v>
      </x:c>
      <x:c r="D7" s="21" t="str">
        <x:v>Runtime</x:v>
      </x:c>
      <x:c r="E7" s="21" t="str">
        <x:v>http://160.191.47.17/version | /openapi.json</x:v>
      </x:c>
      <x:c r="F7" s="21" t="str">
        <x:v>Observed 18/10</x:v>
      </x:c>
      <x:c r="G7" s="21" t="str">
        <x:v>31 paths/35 REST operations; QR/Rewards endpoint chưa xuất hiện.</x:v>
      </x:c>
    </x:row>
    <x:row r="9">
      <x:c r="A9" t="str">
        <x:v>SRC-STG-19</x:v>
      </x:c>
      <x:c r="B9" t="str">
        <x:v>Morning read-only audit</x:v>
      </x:c>
      <x:c r="C9" t="str">
        <x:v>19/10/2026; 972b94294fe1</x:v>
      </x:c>
      <x:c r="D9" t="str">
        <x:v>Runtime</x:v>
      </x:c>
      <x:c r="E9" t="str">
        <x:v>D:\POS_SYSTEM_QA\evidence\AFG_POS\MORNING_READONLY_2026-10-19_083302.log</x:v>
      </x:c>
      <x:c r="F9" t="str">
        <x:v>Preflight only</x:v>
      </x:c>
      <x:c r="G9" t="str">
        <x:v>31 paths/35 operations; B4 AVAILABLE và QA cleanup đúng. Không xác nhận QR/Rewards business PASS.</x:v>
      </x:c>
    </x:row>
  </x:sheetData>
  <x:mergeCells>
    <x:mergeCell ref="A1:G1"/>
  </x:mergeCells>
  <x:pageMargins left="0.7" right="0.7" top="0.75" bottom="0.75" header="0.3" footer="0.3"/>
</x:worksheet>
</file>